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DCF_Summary" sheetId="2" state="visible" r:id="rId4"/>
    <sheet name="Trading_Comps_Summary" sheetId="3" state="visible" r:id="rId5"/>
    <sheet name="Precedent_Summary" sheetId="4" state="visible" r:id="rId6"/>
    <sheet name="Triangulation" sheetId="5" state="visible" r:id="rId7"/>
    <sheet name="Equity_Bridge" sheetId="6" state="visible" r:id="rId8"/>
  </sheets>
  <externalReferences>
    <externalReference r:id="rId9"/>
  </externalReferenc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<sst xmlns="http://schemas.openxmlformats.org/spreadsheetml/2006/main" count="72" uniqueCount="68">
  <si>
    <t xml:space="preserve">Project Southeast Asia — Valuation Triangulation</t>
  </si>
  <si>
    <t xml:space="preserve">Independent student analysis/reconstruction based on publicly available information. Not affiliated with, commissioned by, or representative of Goldman Sachs or AkzoNobel.</t>
  </si>
  <si>
    <t xml:space="preserve">PURPOSE: Brings together the three valuation methodologies built in prior phases — DCF (02_Financial_Model), Trading Comparables (03_Trading_Comps) and Precedent Transactions (04_Precedent_Transactions) — into a single triangulated Enterprise Value range for the SEA decorative paints carve-out, with an Enterprise-to-Equity bridge and explicit sensitivity analysis.</t>
  </si>
  <si>
    <t xml:space="preserve">INPUTS: the DCF figures on DCF_Summary (base-case EV, TV share, and the whole WACC x g sensitivity grid) are LIVE LINKS (red font) to 02_Financial_Model/DCF_Valuation, so they follow the model; Excel will ask to update links on open - keep the numbered-folder structure so the relative path resolves. All other inputs (trading comps, precedents, recommended range) are still typed values pulled from their own workbooks and must be refreshed by hand if those upstream files change.</t>
  </si>
  <si>
    <t xml:space="preserve">DATA REFRESH (2026-09-18): WACC's beta input and all Trading Comps figures were updated from illustrative/aggregator placeholders to live market data (Yahoo Finance via yfinance, single consistent pull across all 6 peers) after this workbook was first built. The figures below reflect that refresh — see 03_Trading_Comps/README and 02_Financial_Model/Assumptions (beta row) for full methodology.</t>
  </si>
  <si>
    <t xml:space="preserve">HEADLINE RESULT: The three methodologies do NOT converge tightly — see Triangulation tab. DCF centers around EUR 613mm (range EUR 468-908mm across WACC/terminal-growth sensitivity), using a WACC of 8.88% built with a real peer-median beta of 0.821. Trading comps (now complete across all 6 peers with no exclusions) imply a higher range (EUR 535-1,360mm) still influenced by Asian Paints' rich 33.6x EV/EBITDA multiple. Precedent transactions imply the widest range in relative terms (EUR 87-690mm), spanning a low-margin PE-sponsor carve-out at one end and a rejected strategic mega-offer at the other. This dispersion is a genuine finding, not a modeling error — it reflects how little hard, comparable public data exists for this specific carve-out. A recommended primary range is presented on the Triangulation tab with explicit reasoning for which data points are weighted and which are treated as outlier context only.</t>
  </si>
  <si>
    <t xml:space="preserve">See Triangulation tab for the football-field summary and Equity_Bridge tab for the EV-to-equity walk (equity value cannot be calculated — see limitation there).</t>
  </si>
  <si>
    <t xml:space="preserve">DCF Valuation Summary (recap of 02_Financial_Model/DCF_Valuation)</t>
  </si>
  <si>
    <t xml:space="preserve">Base case: WACC 8.88% (beta 0.821, live peer median, 2026-09-18), terminal growth 3.0%. See 02_Financial_Model for full build.</t>
  </si>
  <si>
    <t xml:space="preserve">Base case Enterprise Value (EUR mm)</t>
  </si>
  <si>
    <t xml:space="preserve">TV as % of EV</t>
  </si>
  <si>
    <t xml:space="preserve">Sensitivity: Enterprise Value (EUR mm) — WACC x Terminal Growth</t>
  </si>
  <si>
    <t xml:space="preserve">WACC \ g</t>
  </si>
  <si>
    <t xml:space="preserve">DCF-implied range (min / base / max, EUR mm)</t>
  </si>
  <si>
    <t xml:space="preserve">Red cells are live links to 02_Financial_Model/DCF_Valuation (B15, B16, and the WACC x g grid A31:F36); min / max are formulas over the linked grid.</t>
  </si>
  <si>
    <t xml:space="preserve">Trading Comps Valuation Summary (recap of 03_Trading_Comps)</t>
  </si>
  <si>
    <t xml:space="preserve">SEA carve-out FY2026E: Revenue EUR 315mm, EBITDA EUR 52mm (02_Financial_Model).</t>
  </si>
  <si>
    <t xml:space="preserve">Basis</t>
  </si>
  <si>
    <t xml:space="preserve">Low (P25)</t>
  </si>
  <si>
    <t xml:space="preserve">Mid (Median)</t>
  </si>
  <si>
    <t xml:space="preserve">High (P75)</t>
  </si>
  <si>
    <t xml:space="preserve">EV / Revenue multiple</t>
  </si>
  <si>
    <t xml:space="preserve">Implied EV — Revenue basis (EUR mm)</t>
  </si>
  <si>
    <t xml:space="preserve">EV / EBITDA multiple</t>
  </si>
  <si>
    <t xml:space="preserve">Implied EV — EBITDA basis (EUR mm)</t>
  </si>
  <si>
    <t xml:space="preserve">UPDATED 2026-09-18: figures now sourced from a complete, single-pull, live 6-peer dataset (Yahoo Finance via yfinance) — see 03_Trading_Comps/README. The EBITDA-basis range is still influenced by Asian Paints' 33.6x EV/EBITDA multiple, but every one of the 6 peers now has a usable figure (vs. 3-4 previously), so the percentile statistics are more robust than the original aggregator-sourced version.</t>
  </si>
  <si>
    <t xml:space="preserve">Precedent Transactions Valuation Summary (recap of 04_Precedent_Transactions)</t>
  </si>
  <si>
    <t xml:space="preserve">SEA carve-out FY2026E Revenue EUR 315mm.</t>
  </si>
  <si>
    <t xml:space="preserve">Deal</t>
  </si>
  <si>
    <t xml:space="preserve">PPG/AIP (2024)</t>
  </si>
  <si>
    <t xml:space="preserve">SHW/BASF Suvinil (2025)</t>
  </si>
  <si>
    <t xml:space="preserve">Nippon Paint/AkzoNobel (rejected offer)</t>
  </si>
  <si>
    <t xml:space="preserve">EV / Revenue multiple applied</t>
  </si>
  <si>
    <t xml:space="preserve">Implied EV by deal (EUR mm)</t>
  </si>
  <si>
    <t xml:space="preserve">Range (sorted by implied EV)</t>
  </si>
  <si>
    <t xml:space="preserve">Low</t>
  </si>
  <si>
    <t xml:space="preserve">Mid</t>
  </si>
  <si>
    <t xml:space="preserve">High</t>
  </si>
  <si>
    <t xml:space="preserve">Implied EV (EUR mm)</t>
  </si>
  <si>
    <t xml:space="preserve">Deal at that point (notes)</t>
  </si>
  <si>
    <t xml:space="preserve">Low / Mid / High are the min / median / max of the three implied EVs above, so Mid always sits between Low and High. JSW/AkzoNobel India (25x EBITDA) is excluded from this range — India-specific control-premium dynamics not representative of a SEA multi-country carve-out. Nippon Paint/Vibgyor excluded — value undisclosed.</t>
  </si>
  <si>
    <t xml:space="preserve">Valuation Triangulation — Enterprise Value (EUR mm)</t>
  </si>
  <si>
    <t xml:space="preserve">All figures recapped from the DCF_Summary, Trading_Comps_Summary and Precedent_Summary tabs of this workbook.</t>
  </si>
  <si>
    <t xml:space="preserve">Methodology</t>
  </si>
  <si>
    <t xml:space="preserve">Notes</t>
  </si>
  <si>
    <t xml:space="preserve">DCF (unlevered FCF, WACC/g sensitivity)</t>
  </si>
  <si>
    <t xml:space="preserve">Base case anchor; WACC 7.88%-9.88% (beta 0.821, live peer median) x terminal growth 2.0%-4.0% sensitivity range.</t>
  </si>
  <si>
    <t xml:space="preserve">Trading Comps — EV/Revenue basis</t>
  </si>
  <si>
    <t xml:space="preserve">P25/Median/P75 across all 6 peers (Sherwin-Williams, PPG, Nippon Paint, Kansai Paint, Asian Paints, Berger Paints) — complete dataset, live pull 2026-09-18.</t>
  </si>
  <si>
    <t xml:space="preserve">Trading Comps — EV/EBITDA basis</t>
  </si>
  <si>
    <t xml:space="preserve">Same complete 6-peer dataset; still influenced by Asian Paints' 33.6x — treat with some caution.</t>
  </si>
  <si>
    <t xml:space="preserve">Precedent Transactions</t>
  </si>
  <si>
    <t xml:space="preserve">Sorted by implied EV: Low = PPG/AIP (financial-sponsor floor); Mid = Nippon Paint/AkzoNobel rejected offer; High = SHW/BASF Suvinil (closest structural match). See Precedent_Summary.</t>
  </si>
  <si>
    <t xml:space="preserve">RECOMMENDED PRIMARY RANGE (analyst judgment)</t>
  </si>
  <si>
    <t xml:space="preserve">ANALYST CALCULATION / JUDGMENT — see rationale below. Not a disclosed or confirmed figure. Updated 2026-09-18.</t>
  </si>
  <si>
    <t xml:space="preserve">RATIONALE FOR RECOMMENDED RANGE (updated 2026-09-18 following a live-data refresh of beta and trading comps): Anchored primarily on the DCF base case (EUR 613mm, now using a WACC of 8.88% built with a real peer-median beta of 0.821 in place of the original illustrative 1.00) and its own sensitivity band, cross-checked against the two most structurally comparable data points available — the Sherwin-Williams/BASF Suvinil precedent (EUR 690mm, the closest deal structurally: a global strategic buying a single-country emerging-market decorative paints carve-out from another major) and the Nippon Paint/AkzoNobel Decorative Paints rejected offer (EUR 578mm on a like-for-like revenue basis, though that offer was for the GLOBAL segment and was never consummated). The trading comps EV/EBITDA range (EUR 535-1,360mm) and EV/Revenue range (EUR 570-1,293mm) are now computed across a complete, single-source, same-day 6-peer dataset (no exclusions) but are still treated as directional upside context rather than primary drivers, given the outsized influence of Asian Paints' India-specific premium multiple (33.6x EV/EBITDA). The PPG/AIP precedent (EUR 87mm) is treated as a low-margin financial-sponsor floor case, not representative of a strategic-buyer process for a growing SEA decorative platform. The JSW/AkzoNobel India precedent (25x EBITDA, implying a much higher EV than any range shown here) is excluded as an India-specific outlier not comparable to a multi-country SEA carve-out — see 04_Precedent_Transactions for full reasoning. This range should be treated as illustrative and provisional: it rests on a financial model built almost entirely from ILLUSTRATIVE ASSUMPTIONS for the carve-out P&amp;L (see 02_Financial_Model/README), even though the WACC beta and trading comps inputs are now real, live market data.</t>
  </si>
  <si>
    <t xml:space="preserve">(chart helper — base)</t>
  </si>
  <si>
    <t xml:space="preserve">Label</t>
  </si>
  <si>
    <t xml:space="preserve">Base (=Low, hidden)</t>
  </si>
  <si>
    <t xml:space="preserve">Range (High-Low, visible)</t>
  </si>
  <si>
    <t xml:space="preserve">Enterprise Value to Equity Value Bridge</t>
  </si>
  <si>
    <t xml:space="preserve">Recommended Enterprise Value — Mid (EUR mm)</t>
  </si>
  <si>
    <t xml:space="preserve">Less: Debt (asset-level, SEA carve-out)</t>
  </si>
  <si>
    <t xml:space="preserve">N/A — not publicly disclosed</t>
  </si>
  <si>
    <t xml:space="preserve">Plus: Cash (asset-level, SEA carve-out)</t>
  </si>
  <si>
    <t xml:space="preserve">Equity Value</t>
  </si>
  <si>
    <t xml:space="preserve">Cannot be calculated</t>
  </si>
  <si>
    <t xml:space="preserve">LIMITATION: AkzoNobel does not publicly disclose asset-level debt or cash for the SEA decorative paints carve-out — these exist only at the consolidated AkzoNobel Group level (Group net debt/EBITDA disclosed at 2.0x for FY2025, per AkzoNobel's Q4 2025 results release) and cannot be responsibly allocated to this specific perimeter without non-public carve-out balance sheet data. In a real sell-side process, the carve-out balance sheet (including any debt-free/cash-free convention typical of a divestiture) would be defined in the transaction structuring, not estimated by an outside analyst. Enterprise Value is therefore presented throughout this project as the primary valuation output.</t>
  </si>
</sst>
</file>

<file path=xl/styles.xml><?xml version="1.0" encoding="utf-8"?>
<styleSheet xmlns="http://schemas.openxmlformats.org/spreadsheetml/2006/main">
  <numFmts count="5">
    <numFmt numFmtId="164" formatCode="General"/>
    <numFmt numFmtId="165" formatCode="#,##0;\(#,##0\);\-"/>
    <numFmt numFmtId="166" formatCode="0.0%"/>
    <numFmt numFmtId="167" formatCode="0.00%"/>
    <numFmt numFmtId="168" formatCode="0.00\x"/>
  </numFmts>
  <fonts count="1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sz val="10"/>
      <color rgb="FF000000"/>
      <name val="Arial"/>
      <family val="0"/>
      <charset val="1"/>
    </font>
    <font>
      <b val="true"/>
      <sz val="10"/>
      <name val="Arial"/>
      <family val="0"/>
      <charset val="1"/>
    </font>
    <font>
      <sz val="10"/>
      <color rgb="FFFF0000"/>
      <name val="Arial"/>
      <family val="0"/>
      <charset val="1"/>
    </font>
    <font>
      <b val="true"/>
      <sz val="10"/>
      <color rgb="FFFFFFFF"/>
      <name val="Arial"/>
      <family val="0"/>
      <charset val="1"/>
    </font>
    <font>
      <sz val="10"/>
      <color rgb="FF0000FF"/>
      <name val="Arial"/>
      <family val="0"/>
      <charset val="1"/>
    </font>
    <font>
      <b val="true"/>
      <sz val="10"/>
      <color rgb="FF000000"/>
      <name val="Arial"/>
      <family val="0"/>
      <charset val="1"/>
    </font>
    <font>
      <sz val="10"/>
      <color rgb="FF008000"/>
      <name val="Arial"/>
      <family val="0"/>
      <charset val="1"/>
    </font>
    <font>
      <i val="true"/>
      <sz val="9"/>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i val="true"/>
      <sz val="10"/>
      <color rgb="FFC0000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true" applyProtection="false">
      <alignment horizontal="center" vertical="bottom" textRotation="0" wrapText="false" indent="0" shrinkToFit="false"/>
      <protection locked="true" hidden="false"/>
    </xf>
    <xf numFmtId="167" fontId="9" fillId="3"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5" fontId="10" fillId="2"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78787"/>
      <rgbColor rgb="FF9999FF"/>
      <rgbColor rgb="FF993366"/>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externalLink" Target="externalLinks/externalLink1.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Valuation Triangulation — Enterprise Value (EUR mm)</a:t>
            </a:r>
          </a:p>
        </c:rich>
      </c:tx>
      <c:overlay val="0"/>
      <c:spPr>
        <a:noFill/>
        <a:ln w="0">
          <a:noFill/>
        </a:ln>
      </c:spPr>
    </c:title>
    <c:autoTitleDeleted val="0"/>
    <c:plotArea>
      <c:barChart>
        <c:barDir val="bar"/>
        <c:grouping val="stacked"/>
        <c:varyColors val="0"/>
        <c:ser>
          <c:idx val="0"/>
          <c:order val="0"/>
          <c:tx>
            <c:strRef>
              <c:f>Triangulation!I15</c:f>
              <c:strCache>
                <c:ptCount val="1"/>
                <c:pt idx="0">
                  <c:v>Base (=Low, hidden)</c:v>
                </c:pt>
              </c:strCache>
            </c:strRef>
          </c:tx>
          <c:spPr>
            <a:no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Triangulation!$H$16:$H$20</c:f>
              <c:strCache>
                <c:ptCount val="5"/>
                <c:pt idx="0">
                  <c:v>DCF (unlevered FCF, WACC/g sensitivity)</c:v>
                </c:pt>
                <c:pt idx="1">
                  <c:v>Trading Comps — EV/Revenue basis</c:v>
                </c:pt>
                <c:pt idx="2">
                  <c:v>Trading Comps — EV/EBITDA basis</c:v>
                </c:pt>
                <c:pt idx="3">
                  <c:v>Precedent Transactions</c:v>
                </c:pt>
                <c:pt idx="4">
                  <c:v>RECOMMENDED PRIMARY RANGE (analyst judgment)</c:v>
                </c:pt>
              </c:strCache>
            </c:strRef>
          </c:cat>
          <c:val>
            <c:numRef>
              <c:f>Triangulation!$I$16:$I$20</c:f>
              <c:numCache>
                <c:formatCode>#,##0;\(#,##0\);\-</c:formatCode>
                <c:ptCount val="5"/>
                <c:pt idx="0">
                  <c:v>467.733952390693</c:v>
                </c:pt>
                <c:pt idx="1">
                  <c:v>570</c:v>
                </c:pt>
                <c:pt idx="2">
                  <c:v>535</c:v>
                </c:pt>
                <c:pt idx="3">
                  <c:v>87</c:v>
                </c:pt>
                <c:pt idx="4">
                  <c:v>500</c:v>
                </c:pt>
              </c:numCache>
            </c:numRef>
          </c:val>
        </c:ser>
        <c:ser>
          <c:idx val="1"/>
          <c:order val="1"/>
          <c:tx>
            <c:strRef>
              <c:f>Triangulation!J15</c:f>
              <c:strCache>
                <c:ptCount val="1"/>
                <c:pt idx="0">
                  <c:v>Range (High-Low, visible)</c:v>
                </c:pt>
              </c:strCache>
            </c:strRef>
          </c:tx>
          <c:spPr>
            <a:solidFill>
              <a:srgbClr val="1F3864"/>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Triangulation!$H$16:$H$20</c:f>
              <c:strCache>
                <c:ptCount val="5"/>
                <c:pt idx="0">
                  <c:v>DCF (unlevered FCF, WACC/g sensitivity)</c:v>
                </c:pt>
                <c:pt idx="1">
                  <c:v>Trading Comps — EV/Revenue basis</c:v>
                </c:pt>
                <c:pt idx="2">
                  <c:v>Trading Comps — EV/EBITDA basis</c:v>
                </c:pt>
                <c:pt idx="3">
                  <c:v>Precedent Transactions</c:v>
                </c:pt>
                <c:pt idx="4">
                  <c:v>RECOMMENDED PRIMARY RANGE (analyst judgment)</c:v>
                </c:pt>
              </c:strCache>
            </c:strRef>
          </c:cat>
          <c:val>
            <c:numRef>
              <c:f>Triangulation!$J$16:$J$20</c:f>
              <c:numCache>
                <c:formatCode>#,##0;\(#,##0\);\-</c:formatCode>
                <c:ptCount val="5"/>
                <c:pt idx="0">
                  <c:v>440.274028574517</c:v>
                </c:pt>
                <c:pt idx="1">
                  <c:v>723</c:v>
                </c:pt>
                <c:pt idx="2">
                  <c:v>825</c:v>
                </c:pt>
                <c:pt idx="3">
                  <c:v>603</c:v>
                </c:pt>
                <c:pt idx="4">
                  <c:v>275</c:v>
                </c:pt>
              </c:numCache>
            </c:numRef>
          </c:val>
        </c:ser>
        <c:gapWidth val="150"/>
        <c:overlap val="100"/>
        <c:axId val="78773671"/>
        <c:axId val="15304871"/>
      </c:barChart>
      <c:catAx>
        <c:axId val="78773671"/>
        <c:scaling>
          <c:orientation val="minMax"/>
        </c:scaling>
        <c:delete val="0"/>
        <c:axPos val="b"/>
        <c:title>
          <c:tx>
            <c:rich>
              <a:bodyPr rot="-5400000"/>
              <a:lstStyle/>
              <a:p>
                <a:pPr>
                  <a:defRPr sz="1300" b="0" u="none" strike="noStrike">
                    <a:uFillTx/>
                    <a:latin typeface="Arial"/>
                  </a:defRPr>
                </a:pPr>
                <a:r>
                  <a:rPr sz="1000" b="1" u="none" strike="noStrike">
                    <a:solidFill>
                      <a:srgbClr val="000000"/>
                    </a:solidFill>
                    <a:uFillTx/>
                    <a:latin typeface="Calibri"/>
                  </a:rPr>
                  <a:t>EUR mm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5304871"/>
        <c:crosses val="autoZero"/>
        <c:auto val="1"/>
        <c:lblAlgn val="ctr"/>
        <c:lblOffset val="100"/>
        <c:noMultiLvlLbl val="0"/>
      </c:catAx>
      <c:valAx>
        <c:axId val="15304871"/>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8773671"/>
        <c:crosses val="autoZero"/>
        <c:crossBetween val="between"/>
      </c:valAx>
      <c:spPr>
        <a:ln w="0">
          <a:noFill/>
        </a:ln>
      </c:spPr>
    </c:plotArea>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0</xdr:rowOff>
    </xdr:from>
    <xdr:to>
      <xdr:col>5</xdr:col>
      <xdr:colOff>1537920</xdr:colOff>
      <xdr:row>37</xdr:row>
      <xdr:rowOff>22320</xdr:rowOff>
    </xdr:to>
    <xdr:graphicFrame>
      <xdr:nvGraphicFramePr>
        <xdr:cNvPr id="1" name="Chart 1"/>
        <xdr:cNvGraphicFramePr/>
      </xdr:nvGraphicFramePr>
      <xdr:xfrm>
        <a:off x="0" y="669744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02_Financial_Model/Project_Southeast_Asia_Financial_Model.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CF_Valuation"/>
    </sheetNames>
    <sheetDataSet>
      <sheetData sheetId="0">
        <row r="15">
          <cell r="B15">
            <v>613.329823373465</v>
          </cell>
        </row>
        <row r="16">
          <cell r="B16">
            <v>0.786574913800882</v>
          </cell>
        </row>
        <row r="31">
          <cell r="B31">
            <v>0.02</v>
          </cell>
          <cell r="C31">
            <v>0.025</v>
          </cell>
          <cell r="D31">
            <v>0.03</v>
          </cell>
          <cell r="E31">
            <v>0.035</v>
          </cell>
          <cell r="F31">
            <v>0.04</v>
          </cell>
        </row>
        <row r="32">
          <cell r="A32">
            <v>0.07877</v>
          </cell>
          <cell r="B32">
            <v>635.049601332901</v>
          </cell>
          <cell r="C32">
            <v>684.252671717617</v>
          </cell>
          <cell r="D32">
            <v>743.544540622881</v>
          </cell>
          <cell r="E32">
            <v>816.382644142096</v>
          </cell>
          <cell r="F32">
            <v>908.00798096521</v>
          </cell>
        </row>
        <row r="33">
          <cell r="A33">
            <v>0.08377</v>
          </cell>
          <cell r="B33">
            <v>583.340142927444</v>
          </cell>
          <cell r="C33">
            <v>624.067175281938</v>
          </cell>
          <cell r="D33">
            <v>672.368511589285</v>
          </cell>
          <cell r="E33">
            <v>730.573751178845</v>
          </cell>
          <cell r="F33">
            <v>802.076966457132</v>
          </cell>
        </row>
        <row r="34">
          <cell r="A34">
            <v>0.08877</v>
          </cell>
          <cell r="B34">
            <v>539.175910725564</v>
          </cell>
          <cell r="C34">
            <v>573.345782501612</v>
          </cell>
          <cell r="D34">
            <v>613.329823373465</v>
          </cell>
          <cell r="E34">
            <v>660.749988640305</v>
          </cell>
          <cell r="F34">
            <v>717.893378280089</v>
          </cell>
        </row>
        <row r="35">
          <cell r="A35">
            <v>0.09377</v>
          </cell>
          <cell r="B35">
            <v>501.022191034009</v>
          </cell>
          <cell r="C35">
            <v>530.023696083478</v>
          </cell>
          <cell r="D35">
            <v>563.573030057123</v>
          </cell>
          <cell r="E35">
            <v>602.830945615529</v>
          </cell>
          <cell r="F35">
            <v>649.389942735849</v>
          </cell>
        </row>
        <row r="36">
          <cell r="A36">
            <v>0.09877</v>
          </cell>
          <cell r="B36">
            <v>467.733952390693</v>
          </cell>
          <cell r="C36">
            <v>492.5959243134</v>
          </cell>
          <cell r="D36">
            <v>521.073131356467</v>
          </cell>
          <cell r="E36">
            <v>554.015950292753</v>
          </cell>
          <cell r="F36">
            <v>592.564149344114</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115"/>
  </cols>
  <sheetData>
    <row r="1" customFormat="false" ht="17.35" hidden="false" customHeight="false" outlineLevel="0" collapsed="false">
      <c r="A1" s="1" t="s">
        <v>0</v>
      </c>
    </row>
    <row r="2" customFormat="false" ht="21.65" hidden="false" customHeight="false" outlineLevel="0" collapsed="false">
      <c r="A2" s="2" t="s">
        <v>1</v>
      </c>
    </row>
    <row r="3" customFormat="false" ht="15" hidden="false" customHeight="false" outlineLevel="0" collapsed="false">
      <c r="A3" s="3"/>
    </row>
    <row r="4" customFormat="false" ht="46.95" hidden="false" customHeight="false" outlineLevel="0" collapsed="false">
      <c r="A4" s="4" t="s">
        <v>2</v>
      </c>
    </row>
    <row r="5" customFormat="false" ht="15" hidden="false" customHeight="false" outlineLevel="0" collapsed="false">
      <c r="A5" s="3"/>
    </row>
    <row r="6" customFormat="false" ht="46.95" hidden="false" customHeight="false" outlineLevel="0" collapsed="false">
      <c r="A6" s="4" t="s">
        <v>3</v>
      </c>
    </row>
    <row r="7" customFormat="false" ht="15" hidden="false" customHeight="false" outlineLevel="0" collapsed="false">
      <c r="A7" s="3"/>
    </row>
    <row r="8" customFormat="false" ht="46.95" hidden="false" customHeight="false" outlineLevel="0" collapsed="false">
      <c r="A8" s="4" t="s">
        <v>4</v>
      </c>
    </row>
    <row r="9" customFormat="false" ht="15" hidden="false" customHeight="false" outlineLevel="0" collapsed="false">
      <c r="A9" s="3"/>
    </row>
    <row r="10" customFormat="false" ht="92.75" hidden="false" customHeight="false" outlineLevel="0" collapsed="false">
      <c r="A10" s="4" t="s">
        <v>5</v>
      </c>
    </row>
    <row r="11" customFormat="false" ht="15" hidden="false" customHeight="false" outlineLevel="0" collapsed="false">
      <c r="A11" s="3"/>
    </row>
    <row r="12" customFormat="false" ht="24.05" hidden="false" customHeight="false" outlineLevel="0" collapsed="false">
      <c r="A12" s="3"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20"/>
    <col collapsed="false" customWidth="true" hidden="false" outlineLevel="0" max="6" min="2" style="0" width="13"/>
  </cols>
  <sheetData>
    <row r="1" customFormat="false" ht="17.35" hidden="false" customHeight="false" outlineLevel="0" collapsed="false">
      <c r="A1" s="1" t="s">
        <v>7</v>
      </c>
    </row>
    <row r="2" customFormat="false" ht="15" hidden="false" customHeight="false" outlineLevel="0" collapsed="false">
      <c r="A2" s="5" t="s">
        <v>8</v>
      </c>
    </row>
    <row r="4" customFormat="false" ht="15" hidden="false" customHeight="false" outlineLevel="0" collapsed="false">
      <c r="A4" s="6" t="s">
        <v>9</v>
      </c>
      <c r="B4" s="7" t="n">
        <f aca="false">[1]DCF_Valuation!B15</f>
        <v>613.329823373465</v>
      </c>
    </row>
    <row r="5" customFormat="false" ht="15" hidden="false" customHeight="false" outlineLevel="0" collapsed="false">
      <c r="A5" s="8" t="s">
        <v>10</v>
      </c>
      <c r="B5" s="9" t="n">
        <f aca="false">[1]DCF_Valuation!B16</f>
        <v>0.786574913800882</v>
      </c>
    </row>
    <row r="7" customFormat="false" ht="15" hidden="false" customHeight="false" outlineLevel="0" collapsed="false">
      <c r="A7" s="6" t="s">
        <v>11</v>
      </c>
    </row>
    <row r="8" customFormat="false" ht="15" hidden="false" customHeight="false" outlineLevel="0" collapsed="false">
      <c r="A8" s="10" t="s">
        <v>12</v>
      </c>
      <c r="B8" s="11" t="n">
        <f aca="false">[1]DCF_Valuation!B31</f>
        <v>0.02</v>
      </c>
      <c r="C8" s="11" t="n">
        <f aca="false">[1]DCF_Valuation!C31</f>
        <v>0.025</v>
      </c>
      <c r="D8" s="11" t="n">
        <f aca="false">[1]DCF_Valuation!D31</f>
        <v>0.03</v>
      </c>
      <c r="E8" s="11" t="n">
        <f aca="false">[1]DCF_Valuation!E31</f>
        <v>0.035</v>
      </c>
      <c r="F8" s="11" t="n">
        <f aca="false">[1]DCF_Valuation!F31</f>
        <v>0.04</v>
      </c>
    </row>
    <row r="9" customFormat="false" ht="15" hidden="false" customHeight="false" outlineLevel="0" collapsed="false">
      <c r="A9" s="12" t="n">
        <f aca="false">[1]DCF_Valuation!A32</f>
        <v>0.07877</v>
      </c>
      <c r="B9" s="13" t="n">
        <f aca="false">[1]DCF_Valuation!B32</f>
        <v>635.049601332901</v>
      </c>
      <c r="C9" s="13" t="n">
        <f aca="false">[1]DCF_Valuation!C32</f>
        <v>684.252671717617</v>
      </c>
      <c r="D9" s="13" t="n">
        <f aca="false">[1]DCF_Valuation!D32</f>
        <v>743.544540622881</v>
      </c>
      <c r="E9" s="13" t="n">
        <f aca="false">[1]DCF_Valuation!E32</f>
        <v>816.382644142096</v>
      </c>
      <c r="F9" s="13" t="n">
        <f aca="false">[1]DCF_Valuation!F32</f>
        <v>908.00798096521</v>
      </c>
    </row>
    <row r="10" customFormat="false" ht="15" hidden="false" customHeight="false" outlineLevel="0" collapsed="false">
      <c r="A10" s="12" t="n">
        <f aca="false">[1]DCF_Valuation!A33</f>
        <v>0.08377</v>
      </c>
      <c r="B10" s="13" t="n">
        <f aca="false">[1]DCF_Valuation!B33</f>
        <v>583.340142927444</v>
      </c>
      <c r="C10" s="13" t="n">
        <f aca="false">[1]DCF_Valuation!C33</f>
        <v>624.067175281938</v>
      </c>
      <c r="D10" s="13" t="n">
        <f aca="false">[1]DCF_Valuation!D33</f>
        <v>672.368511589285</v>
      </c>
      <c r="E10" s="13" t="n">
        <f aca="false">[1]DCF_Valuation!E33</f>
        <v>730.573751178845</v>
      </c>
      <c r="F10" s="13" t="n">
        <f aca="false">[1]DCF_Valuation!F33</f>
        <v>802.076966457132</v>
      </c>
    </row>
    <row r="11" customFormat="false" ht="15" hidden="false" customHeight="false" outlineLevel="0" collapsed="false">
      <c r="A11" s="12" t="n">
        <f aca="false">[1]DCF_Valuation!A34</f>
        <v>0.08877</v>
      </c>
      <c r="B11" s="13" t="n">
        <f aca="false">[1]DCF_Valuation!B34</f>
        <v>539.175910725564</v>
      </c>
      <c r="C11" s="13" t="n">
        <f aca="false">[1]DCF_Valuation!C34</f>
        <v>573.345782501612</v>
      </c>
      <c r="D11" s="14" t="n">
        <f aca="false">[1]DCF_Valuation!D34</f>
        <v>613.329823373465</v>
      </c>
      <c r="E11" s="13" t="n">
        <f aca="false">[1]DCF_Valuation!E34</f>
        <v>660.749988640305</v>
      </c>
      <c r="F11" s="13" t="n">
        <f aca="false">[1]DCF_Valuation!F34</f>
        <v>717.893378280089</v>
      </c>
    </row>
    <row r="12" customFormat="false" ht="15" hidden="false" customHeight="false" outlineLevel="0" collapsed="false">
      <c r="A12" s="12" t="n">
        <f aca="false">[1]DCF_Valuation!A35</f>
        <v>0.09377</v>
      </c>
      <c r="B12" s="13" t="n">
        <f aca="false">[1]DCF_Valuation!B35</f>
        <v>501.022191034009</v>
      </c>
      <c r="C12" s="13" t="n">
        <f aca="false">[1]DCF_Valuation!C35</f>
        <v>530.023696083478</v>
      </c>
      <c r="D12" s="13" t="n">
        <f aca="false">[1]DCF_Valuation!D35</f>
        <v>563.573030057123</v>
      </c>
      <c r="E12" s="13" t="n">
        <f aca="false">[1]DCF_Valuation!E35</f>
        <v>602.830945615529</v>
      </c>
      <c r="F12" s="13" t="n">
        <f aca="false">[1]DCF_Valuation!F35</f>
        <v>649.389942735849</v>
      </c>
    </row>
    <row r="13" customFormat="false" ht="15" hidden="false" customHeight="false" outlineLevel="0" collapsed="false">
      <c r="A13" s="12" t="n">
        <f aca="false">[1]DCF_Valuation!A36</f>
        <v>0.09877</v>
      </c>
      <c r="B13" s="13" t="n">
        <f aca="false">[1]DCF_Valuation!B36</f>
        <v>467.733952390693</v>
      </c>
      <c r="C13" s="13" t="n">
        <f aca="false">[1]DCF_Valuation!C36</f>
        <v>492.5959243134</v>
      </c>
      <c r="D13" s="13" t="n">
        <f aca="false">[1]DCF_Valuation!D36</f>
        <v>521.073131356467</v>
      </c>
      <c r="E13" s="13" t="n">
        <f aca="false">[1]DCF_Valuation!E36</f>
        <v>554.015950292753</v>
      </c>
      <c r="F13" s="13" t="n">
        <f aca="false">[1]DCF_Valuation!F36</f>
        <v>592.564149344114</v>
      </c>
    </row>
    <row r="15" customFormat="false" ht="15" hidden="false" customHeight="false" outlineLevel="0" collapsed="false">
      <c r="A15" s="6" t="s">
        <v>13</v>
      </c>
      <c r="B15" s="15" t="n">
        <f aca="false">MIN(B9:F13)</f>
        <v>467.733952390693</v>
      </c>
      <c r="C15" s="16" t="n">
        <f aca="false">[1]DCF_Valuation!B15</f>
        <v>613.329823373465</v>
      </c>
      <c r="D15" s="15" t="n">
        <f aca="false">MAX(B9:F13)</f>
        <v>908.00798096521</v>
      </c>
    </row>
    <row r="17" customFormat="false" ht="15" hidden="false" customHeight="false" outlineLevel="0" collapsed="false">
      <c r="A17" s="5"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34"/>
    <col collapsed="false" customWidth="true" hidden="false" outlineLevel="0" max="4" min="2" style="0" width="16"/>
  </cols>
  <sheetData>
    <row r="1" customFormat="false" ht="17.35" hidden="false" customHeight="false" outlineLevel="0" collapsed="false">
      <c r="A1" s="1" t="s">
        <v>15</v>
      </c>
    </row>
    <row r="2" customFormat="false" ht="15" hidden="false" customHeight="false" outlineLevel="0" collapsed="false">
      <c r="A2" s="5" t="s">
        <v>16</v>
      </c>
    </row>
    <row r="4" customFormat="false" ht="15" hidden="false" customHeight="false" outlineLevel="0" collapsed="false">
      <c r="A4" s="10" t="s">
        <v>17</v>
      </c>
      <c r="B4" s="10" t="s">
        <v>18</v>
      </c>
      <c r="C4" s="10" t="s">
        <v>19</v>
      </c>
      <c r="D4" s="10" t="s">
        <v>20</v>
      </c>
    </row>
    <row r="5" customFormat="false" ht="15" hidden="false" customHeight="false" outlineLevel="0" collapsed="false">
      <c r="A5" s="8" t="s">
        <v>21</v>
      </c>
      <c r="B5" s="17" t="n">
        <v>1.81</v>
      </c>
      <c r="C5" s="17" t="n">
        <v>2.83</v>
      </c>
      <c r="D5" s="17" t="n">
        <v>4.11</v>
      </c>
    </row>
    <row r="6" customFormat="false" ht="15" hidden="false" customHeight="false" outlineLevel="0" collapsed="false">
      <c r="A6" s="6" t="s">
        <v>22</v>
      </c>
      <c r="B6" s="18" t="n">
        <v>570</v>
      </c>
      <c r="C6" s="18" t="n">
        <v>890</v>
      </c>
      <c r="D6" s="18" t="n">
        <v>1293</v>
      </c>
    </row>
    <row r="8" customFormat="false" ht="15" hidden="false" customHeight="false" outlineLevel="0" collapsed="false">
      <c r="A8" s="8" t="s">
        <v>23</v>
      </c>
      <c r="B8" s="17" t="n">
        <v>10.28</v>
      </c>
      <c r="C8" s="17" t="n">
        <v>15.24</v>
      </c>
      <c r="D8" s="17" t="n">
        <v>26.16</v>
      </c>
    </row>
    <row r="9" customFormat="false" ht="15" hidden="false" customHeight="false" outlineLevel="0" collapsed="false">
      <c r="A9" s="6" t="s">
        <v>24</v>
      </c>
      <c r="B9" s="18" t="n">
        <v>535</v>
      </c>
      <c r="C9" s="18" t="n">
        <v>792</v>
      </c>
      <c r="D9" s="18" t="n">
        <v>1360</v>
      </c>
    </row>
    <row r="11" customFormat="false" ht="45" hidden="false" customHeight="true" outlineLevel="0" collapsed="false">
      <c r="A11" s="19" t="s">
        <v>25</v>
      </c>
      <c r="B11" s="19"/>
      <c r="C11" s="19"/>
      <c r="D11" s="19"/>
    </row>
  </sheetData>
  <mergeCells count="1">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34"/>
    <col collapsed="false" customWidth="true" hidden="false" outlineLevel="0" max="4" min="2" style="0" width="22"/>
  </cols>
  <sheetData>
    <row r="1" customFormat="false" ht="17.35" hidden="false" customHeight="false" outlineLevel="0" collapsed="false">
      <c r="A1" s="1" t="s">
        <v>26</v>
      </c>
    </row>
    <row r="2" customFormat="false" ht="15" hidden="false" customHeight="false" outlineLevel="0" collapsed="false">
      <c r="A2" s="5" t="s">
        <v>27</v>
      </c>
    </row>
    <row r="4" customFormat="false" ht="24.05" hidden="false" customHeight="false" outlineLevel="0" collapsed="false">
      <c r="A4" s="20" t="s">
        <v>28</v>
      </c>
      <c r="B4" s="20" t="s">
        <v>29</v>
      </c>
      <c r="C4" s="20" t="s">
        <v>30</v>
      </c>
      <c r="D4" s="20" t="s">
        <v>31</v>
      </c>
    </row>
    <row r="5" customFormat="false" ht="15" hidden="false" customHeight="false" outlineLevel="0" collapsed="false">
      <c r="A5" s="8" t="s">
        <v>32</v>
      </c>
      <c r="B5" s="17" t="n">
        <v>0.275</v>
      </c>
      <c r="C5" s="17" t="n">
        <v>2.19</v>
      </c>
      <c r="D5" s="17" t="n">
        <v>1.83</v>
      </c>
    </row>
    <row r="6" customFormat="false" ht="15" hidden="false" customHeight="false" outlineLevel="0" collapsed="false">
      <c r="A6" s="6" t="s">
        <v>33</v>
      </c>
      <c r="B6" s="18" t="n">
        <v>87</v>
      </c>
      <c r="C6" s="18" t="n">
        <v>690</v>
      </c>
      <c r="D6" s="18" t="n">
        <v>578</v>
      </c>
    </row>
    <row r="8" customFormat="false" ht="15" hidden="false" customHeight="false" outlineLevel="0" collapsed="false">
      <c r="A8" s="20" t="s">
        <v>34</v>
      </c>
      <c r="B8" s="20" t="s">
        <v>35</v>
      </c>
      <c r="C8" s="20" t="s">
        <v>36</v>
      </c>
      <c r="D8" s="20" t="s">
        <v>37</v>
      </c>
    </row>
    <row r="9" customFormat="false" ht="15" hidden="false" customHeight="false" outlineLevel="0" collapsed="false">
      <c r="A9" s="6" t="s">
        <v>38</v>
      </c>
      <c r="B9" s="21" t="n">
        <f aca="false">MIN(B6:D6)</f>
        <v>87</v>
      </c>
      <c r="C9" s="21" t="n">
        <f aca="false">MEDIAN(B6:D6)</f>
        <v>578</v>
      </c>
      <c r="D9" s="21" t="n">
        <f aca="false">MAX(B6:D6)</f>
        <v>690</v>
      </c>
    </row>
    <row r="10" customFormat="false" ht="42" hidden="false" customHeight="true" outlineLevel="0" collapsed="false">
      <c r="A10" s="5" t="s">
        <v>39</v>
      </c>
      <c r="B10" s="2" t="str">
        <f aca="false">INDEX($B$4:$D$4,MATCH(B9,$B$6:$D$6,0))</f>
        <v>PPG/AIP (2024)</v>
      </c>
      <c r="C10" s="2" t="str">
        <f aca="false">INDEX($B$4:$D$4,MATCH(C9,$B$6:$D$6,0))</f>
        <v>Nippon Paint/AkzoNobel (rejected offer)</v>
      </c>
      <c r="D10" s="2" t="str">
        <f aca="false">INDEX($B$4:$D$4,MATCH(D9,$B$6:$D$6,0))</f>
        <v>SHW/BASF Suvinil (2025)</v>
      </c>
    </row>
    <row r="12" customFormat="false" ht="54.75" hidden="false" customHeight="true" outlineLevel="0" collapsed="false">
      <c r="A12" s="19" t="s">
        <v>40</v>
      </c>
      <c r="B12" s="19"/>
      <c r="C12" s="19"/>
      <c r="D12" s="19"/>
    </row>
  </sheetData>
  <mergeCells count="1">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4"/>
    <col collapsed="false" customWidth="true" hidden="false" outlineLevel="0" max="4" min="2" style="0" width="16"/>
    <col collapsed="false" customWidth="true" hidden="false" outlineLevel="0" max="6" min="6" style="0" width="55"/>
  </cols>
  <sheetData>
    <row r="1" customFormat="false" ht="17.35" hidden="false" customHeight="false" outlineLevel="0" collapsed="false">
      <c r="A1" s="1" t="s">
        <v>41</v>
      </c>
    </row>
    <row r="2" customFormat="false" ht="15" hidden="false" customHeight="false" outlineLevel="0" collapsed="false">
      <c r="A2" s="5" t="s">
        <v>42</v>
      </c>
    </row>
    <row r="4" customFormat="false" ht="15" hidden="false" customHeight="false" outlineLevel="0" collapsed="false">
      <c r="A4" s="10" t="s">
        <v>43</v>
      </c>
      <c r="B4" s="10" t="s">
        <v>35</v>
      </c>
      <c r="C4" s="10" t="s">
        <v>36</v>
      </c>
      <c r="D4" s="10" t="s">
        <v>37</v>
      </c>
      <c r="E4" s="10" t="s">
        <v>44</v>
      </c>
    </row>
    <row r="5" customFormat="false" ht="30" hidden="false" customHeight="true" outlineLevel="0" collapsed="false">
      <c r="A5" s="8" t="s">
        <v>45</v>
      </c>
      <c r="B5" s="22" t="n">
        <f aca="false">DCF_Summary!B15</f>
        <v>467.733952390693</v>
      </c>
      <c r="C5" s="22" t="n">
        <f aca="false">DCF_Summary!C15</f>
        <v>613.329823373465</v>
      </c>
      <c r="D5" s="22" t="n">
        <f aca="false">DCF_Summary!D15</f>
        <v>908.00798096521</v>
      </c>
      <c r="F5" s="2" t="s">
        <v>46</v>
      </c>
    </row>
    <row r="6" customFormat="false" ht="30" hidden="false" customHeight="true" outlineLevel="0" collapsed="false">
      <c r="A6" s="8" t="s">
        <v>47</v>
      </c>
      <c r="B6" s="22" t="n">
        <f aca="false">Trading_Comps_Summary!B6</f>
        <v>570</v>
      </c>
      <c r="C6" s="22" t="n">
        <f aca="false">Trading_Comps_Summary!C6</f>
        <v>890</v>
      </c>
      <c r="D6" s="22" t="n">
        <f aca="false">Trading_Comps_Summary!D6</f>
        <v>1293</v>
      </c>
      <c r="F6" s="2" t="s">
        <v>48</v>
      </c>
    </row>
    <row r="7" customFormat="false" ht="30" hidden="false" customHeight="true" outlineLevel="0" collapsed="false">
      <c r="A7" s="8" t="s">
        <v>49</v>
      </c>
      <c r="B7" s="22" t="n">
        <f aca="false">Trading_Comps_Summary!B9</f>
        <v>535</v>
      </c>
      <c r="C7" s="22" t="n">
        <f aca="false">Trading_Comps_Summary!C9</f>
        <v>792</v>
      </c>
      <c r="D7" s="22" t="n">
        <f aca="false">Trading_Comps_Summary!D9</f>
        <v>1360</v>
      </c>
      <c r="F7" s="2" t="s">
        <v>50</v>
      </c>
    </row>
    <row r="8" customFormat="false" ht="30" hidden="false" customHeight="true" outlineLevel="0" collapsed="false">
      <c r="A8" s="8" t="s">
        <v>51</v>
      </c>
      <c r="B8" s="22" t="n">
        <f aca="false">Precedent_Summary!B9</f>
        <v>87</v>
      </c>
      <c r="C8" s="22" t="n">
        <f aca="false">Precedent_Summary!C9</f>
        <v>578</v>
      </c>
      <c r="D8" s="22" t="n">
        <f aca="false">Precedent_Summary!D9</f>
        <v>690</v>
      </c>
      <c r="F8" s="2" t="s">
        <v>52</v>
      </c>
    </row>
    <row r="10" customFormat="false" ht="15" hidden="false" customHeight="false" outlineLevel="0" collapsed="false">
      <c r="A10" s="23" t="s">
        <v>53</v>
      </c>
      <c r="B10" s="24" t="n">
        <v>500</v>
      </c>
      <c r="C10" s="24" t="n">
        <v>625</v>
      </c>
      <c r="D10" s="24" t="n">
        <v>775</v>
      </c>
      <c r="F10" s="25" t="s">
        <v>54</v>
      </c>
    </row>
    <row r="12" customFormat="false" ht="150" hidden="false" customHeight="true" outlineLevel="0" collapsed="false">
      <c r="A12" s="19" t="s">
        <v>55</v>
      </c>
      <c r="B12" s="19"/>
      <c r="C12" s="19"/>
      <c r="D12" s="19"/>
      <c r="E12" s="19"/>
      <c r="F12" s="19"/>
    </row>
    <row r="14" customFormat="false" ht="15" hidden="false" customHeight="false" outlineLevel="0" collapsed="false">
      <c r="A14" s="5" t="s">
        <v>56</v>
      </c>
    </row>
    <row r="15" customFormat="false" ht="15" hidden="false" customHeight="false" outlineLevel="0" collapsed="false">
      <c r="H15" s="5" t="s">
        <v>57</v>
      </c>
      <c r="I15" s="5" t="s">
        <v>58</v>
      </c>
      <c r="J15" s="5" t="s">
        <v>59</v>
      </c>
    </row>
    <row r="16" customFormat="false" ht="15" hidden="false" customHeight="false" outlineLevel="0" collapsed="false">
      <c r="H16" s="0" t="str">
        <f aca="false">A5</f>
        <v>DCF (unlevered FCF, WACC/g sensitivity)</v>
      </c>
      <c r="I16" s="26" t="n">
        <f aca="false">B5</f>
        <v>467.733952390693</v>
      </c>
      <c r="J16" s="26" t="n">
        <f aca="false">D5-B5</f>
        <v>440.274028574517</v>
      </c>
    </row>
    <row r="17" customFormat="false" ht="15" hidden="false" customHeight="false" outlineLevel="0" collapsed="false">
      <c r="H17" s="0" t="str">
        <f aca="false">A6</f>
        <v>Trading Comps — EV/Revenue basis</v>
      </c>
      <c r="I17" s="26" t="n">
        <f aca="false">B6</f>
        <v>570</v>
      </c>
      <c r="J17" s="26" t="n">
        <f aca="false">D6-B6</f>
        <v>723</v>
      </c>
    </row>
    <row r="18" customFormat="false" ht="15" hidden="false" customHeight="false" outlineLevel="0" collapsed="false">
      <c r="H18" s="0" t="str">
        <f aca="false">A7</f>
        <v>Trading Comps — EV/EBITDA basis</v>
      </c>
      <c r="I18" s="26" t="n">
        <f aca="false">B7</f>
        <v>535</v>
      </c>
      <c r="J18" s="26" t="n">
        <f aca="false">D7-B7</f>
        <v>825</v>
      </c>
    </row>
    <row r="19" customFormat="false" ht="15" hidden="false" customHeight="false" outlineLevel="0" collapsed="false">
      <c r="H19" s="0" t="str">
        <f aca="false">A8</f>
        <v>Precedent Transactions</v>
      </c>
      <c r="I19" s="26" t="n">
        <f aca="false">B8</f>
        <v>87</v>
      </c>
      <c r="J19" s="26" t="n">
        <f aca="false">D8-B8</f>
        <v>603</v>
      </c>
    </row>
    <row r="20" customFormat="false" ht="15" hidden="false" customHeight="false" outlineLevel="0" collapsed="false">
      <c r="H20" s="0" t="str">
        <f aca="false">A10</f>
        <v>RECOMMENDED PRIMARY RANGE (analyst judgment)</v>
      </c>
      <c r="I20" s="26" t="n">
        <f aca="false">B10</f>
        <v>500</v>
      </c>
      <c r="J20" s="26" t="n">
        <f aca="false">D10-B10</f>
        <v>275</v>
      </c>
    </row>
  </sheetData>
  <mergeCells count="1">
    <mergeCell ref="A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40"/>
    <col collapsed="false" customWidth="true" hidden="false" outlineLevel="0" max="2" min="2" style="0" width="20"/>
  </cols>
  <sheetData>
    <row r="1" customFormat="false" ht="17.35" hidden="false" customHeight="false" outlineLevel="0" collapsed="false">
      <c r="A1" s="1" t="s">
        <v>60</v>
      </c>
    </row>
    <row r="3" customFormat="false" ht="15" hidden="false" customHeight="false" outlineLevel="0" collapsed="false">
      <c r="A3" s="6" t="s">
        <v>61</v>
      </c>
      <c r="B3" s="22" t="n">
        <f aca="false">Triangulation!C10</f>
        <v>625</v>
      </c>
    </row>
    <row r="4" customFormat="false" ht="15" hidden="false" customHeight="false" outlineLevel="0" collapsed="false">
      <c r="A4" s="8" t="s">
        <v>62</v>
      </c>
      <c r="B4" s="25" t="s">
        <v>63</v>
      </c>
    </row>
    <row r="5" customFormat="false" ht="15" hidden="false" customHeight="false" outlineLevel="0" collapsed="false">
      <c r="A5" s="8" t="s">
        <v>64</v>
      </c>
      <c r="B5" s="25" t="s">
        <v>63</v>
      </c>
    </row>
    <row r="6" customFormat="false" ht="15" hidden="false" customHeight="false" outlineLevel="0" collapsed="false">
      <c r="A6" s="6" t="s">
        <v>65</v>
      </c>
      <c r="B6" s="27" t="s">
        <v>66</v>
      </c>
    </row>
    <row r="8" customFormat="false" ht="90" hidden="false" customHeight="true" outlineLevel="0" collapsed="false">
      <c r="A8" s="19" t="s">
        <v>67</v>
      </c>
      <c r="B8" s="19"/>
      <c r="C8" s="19"/>
      <c r="D8" s="19"/>
    </row>
  </sheetData>
  <mergeCells count="1">
    <mergeCell ref="A8:D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LibreOffice/26.8.1.1$Windows_X86_64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2026-10-09T15:32:15Z</dcterms:created>
  <dc:creator>openpyxl</dc:creator>
  <dc:description/>
  <dc:language>en-GB</dc:language>
  <cp:lastModifiedBy/>
  <dcterms:modified xsi:type="dcterms:W3CDTF">2026-10-09T15:32:15Z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
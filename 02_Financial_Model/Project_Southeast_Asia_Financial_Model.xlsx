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Assumptions" sheetId="2" state="visible" r:id="rId4"/>
    <sheet name="Revenue_Build" sheetId="3" state="visible" r:id="rId5"/>
    <sheet name="Working_Capital" sheetId="4" state="visible" r:id="rId6"/>
    <sheet name="Capex_DA" sheetId="5" state="visible" r:id="rId7"/>
    <sheet name="Carveout_PnL" sheetId="6" state="visible" r:id="rId8"/>
    <sheet name="DCF_Valuation" sheetId="7" state="visible" r:id="rId9"/>
    <sheet name="Source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<sst xmlns="http://schemas.openxmlformats.org/spreadsheetml/2006/main" count="365" uniqueCount="228">
  <si>
    <t xml:space="preserve">Project Southeast Asia — Carve-Out Financial Model</t>
  </si>
  <si>
    <t xml:space="preserve">Independent student analysis/reconstruction based on publicly available information. Not affiliated with, commissioned by, or representative of Goldman Sachs or AkzoNobel.</t>
  </si>
  <si>
    <t xml:space="preserve">SCOPE: This model reconstructs a carve-out P&amp;L and unlevered DCF for AkzoNobel's reported Southeast Asian decorative paints operations (Indonesia, Thailand, Malaysia, Vietnam), based on the single public revenue data point disclosed by ION Analytics (EUR 300m annual revenue) and the asset perimeter mapped in 01_Source_Data/SEA_Asset_Perimeter.xlsx.</t>
  </si>
  <si>
    <t xml:space="preserve">CRITICAL LIMITATION: AkzoNobel does not publicly disclose SEA-decorative-specific EBITDA, margins, working capital, capex, D&amp;A, or country-level revenue splits. Every line in this model beyond the single EUR 300m revenue anchor and the four countries' statutory tax rates is therefore either an ANALYST CALCULATION built from that anchor, or an ILLUSTRATIVE ASSUMPTION. This is disclosed on every tab via the color/classification legend below and documented cell-by-cell in the Assumptions tab and Support_Assumptions.xlsx (09_Assumptions).</t>
  </si>
  <si>
    <t xml:space="preserve">COLOR LEGEND:</t>
  </si>
  <si>
    <t xml:space="preserve">  Blue text   = hardcoded input / assumption (see Assumptions tab for source and rationale)</t>
  </si>
  <si>
    <t xml:space="preserve">  Black text  = formula calculated within this workbook</t>
  </si>
  <si>
    <t xml:space="preserve">  Green text  = link to another sheet in this workbook</t>
  </si>
  <si>
    <t xml:space="preserve">  Yellow fill = key assumption the reader should scrutinize first</t>
  </si>
  <si>
    <t xml:space="preserve">HISTORICAL PERIOD (FY2023-FY2025): AkzoNobel has not disclosed SEA-decorative historical financials. The FY2025 revenue figure (EUR 300m) is the one public data point (ION Analytics, reported in the context of the CEO's April 2026 comments). FY2023 and FY2024 are back-solved from FY2025 using an ILLUSTRATIVE historical growth assumption anchored to ASEAN paints market growth — they are not observed historical actuals and should not be cited as such.</t>
  </si>
  <si>
    <t xml:space="preserve">EBITDA MARGIN: FY2024 (14.2%) and FY2025 (15.8%) margin assumptions are set equal to AkzoNobel's ACTUAL, PUBLICLY DISCLOSED GLOBAL Decorative Paints segment EBITDA margin (source: AkzoNobel FY2025 results release) as a starting proxy — this is a modeling choice, not a confirmed SEA-specific figure, since no SEA-only margin is disclosed. Forward margin assumptions ramp modestly above the group average toward regional peer levels (Nippon Paint ~18%, Asian Paints ~19-21%), reflecting SEA's higher-growth market profile — this is explicitly an ILLUSTRATIVE ASSUMPTION, not a disclosed target.</t>
  </si>
  <si>
    <t xml:space="preserve">TAX: Country statutory corporate income tax rates (Indonesia 22%, Thailand 20%, Malaysia 24%, Vietnam 20%) are PUBLIC FACTS (OECD / Tax Foundation / PwC tax summaries, 2026). The blended effective rate applied to the carve-out is an ANALYST CALCULATION (revenue-weighted average of the four statutory rates) — it does not reflect any AkzoNobel-specific effective tax rate, incentives, or holding structure, which are not disclosed.</t>
  </si>
  <si>
    <t xml:space="preserve">TABS: Assumptions | Revenue_Build | Working_Capital | Capex_DA | Carveout_PnL | DCF_Valuation</t>
  </si>
  <si>
    <t xml:space="preserve">See 09_Assumptions/Support_Assumptions.xlsx for the consolidated assumptions book and 10_Supporting_Research/Support_Sources.xlsx for the full source log (source IDs).</t>
  </si>
  <si>
    <t xml:space="preserve">Assumptions</t>
  </si>
  <si>
    <t xml:space="preserve">All inputs used across the model. Blue = hardcoded input. See Classification and Rationale columns for support.</t>
  </si>
  <si>
    <t xml:space="preserve">Assumption</t>
  </si>
  <si>
    <t xml:space="preserve">Value</t>
  </si>
  <si>
    <t xml:space="preserve">Classification</t>
  </si>
  <si>
    <t xml:space="preserve">Source / Rationale</t>
  </si>
  <si>
    <t xml:space="preserve">1. Transaction Anchor</t>
  </si>
  <si>
    <t xml:space="preserve">FY2025 SEA Decorative Paints revenue (EUR mm)</t>
  </si>
  <si>
    <t xml:space="preserve">PUBLIC FACT</t>
  </si>
  <si>
    <t xml:space="preserve">ION Analytics, 'AkzoNobel taps Goldman Sachs for sale of Southeast Asia paints assets' (SRC-001). Treated as the FY2025 (last full year) revenue base for this model.</t>
  </si>
  <si>
    <t xml:space="preserve">Implied EUR/USD (as reported in source)</t>
  </si>
  <si>
    <t xml:space="preserve">ION article states EUR 300m approx. USD 346m; 346/300 = 1.153.</t>
  </si>
  <si>
    <t xml:space="preserve">2. Country Revenue Split (ILLUSTRATIVE ASSUMPTION)</t>
  </si>
  <si>
    <t xml:space="preserve">Indonesia % of SEA revenue</t>
  </si>
  <si>
    <t xml:space="preserve">ILLUSTRATIVE ASSUMPTION</t>
  </si>
  <si>
    <t xml:space="preserve">Largest ASEAN economy/population and largest confirmed AkzoNobel decorative footprint (Tangerang site) per 01_Source_Data/SEA_Asset_Perimeter.xlsx. No disclosed country split exists.</t>
  </si>
  <si>
    <t xml:space="preserve">Thailand % of SEA revenue</t>
  </si>
  <si>
    <t xml:space="preserve">Second-largest confirmed footprint (AkzoNobel entered Thailand 1963; Bangkok decorative site).</t>
  </si>
  <si>
    <t xml:space="preserve">Vietnam % of SEA revenue</t>
  </si>
  <si>
    <t xml:space="preserve">Ben Cat, Binh Duong is AkzoNobel's largest single site in Vietnam (100m litre capacity); fast-growing market.</t>
  </si>
  <si>
    <t xml:space="preserve">Malaysia % of SEA revenue</t>
  </si>
  <si>
    <t xml:space="preserve">Smallest of the four confirmed markets by population/construction spend; site-level detail unconfirmed.</t>
  </si>
  <si>
    <t xml:space="preserve">Check: sum of country splits</t>
  </si>
  <si>
    <t xml:space="preserve">3. Revenue Growth (ILLUSTRATIVE — anchored to ASEAN paints market CAGR ~5.0%, 2026-2031, per ION article market-size figures)</t>
  </si>
  <si>
    <t xml:space="preserve">FY2024 growth (backward-implied, historical)</t>
  </si>
  <si>
    <t xml:space="preserve">ASEAN paints &amp; coatings market projected to grow from USD 7.78bn (2026) to USD 9.92bn (2031), an implied ~5.0% CAGR (ION Analytics article). Applied uniformly across countries as a simplifying assumption.</t>
  </si>
  <si>
    <t xml:space="preserve">FY2025 growth (backward-implied, historical)</t>
  </si>
  <si>
    <t xml:space="preserve">FY2026E growth</t>
  </si>
  <si>
    <t xml:space="preserve">FY2027E growth</t>
  </si>
  <si>
    <t xml:space="preserve">FY2028E growth</t>
  </si>
  <si>
    <t xml:space="preserve">FY2029E growth</t>
  </si>
  <si>
    <t xml:space="preserve">FY2030E growth</t>
  </si>
  <si>
    <t xml:space="preserve">4. Margins (ILLUSTRATIVE — FY2024/FY2025 anchored to AkzoNobel Group Decorative Paints actual segment margin)</t>
  </si>
  <si>
    <t xml:space="preserve">Gross margin % (flat, all years)</t>
  </si>
  <si>
    <t xml:space="preserve">Typical decorative-paints industry gross margin range; no AkzoNobel SEA-specific COGS disclosure exists.</t>
  </si>
  <si>
    <t xml:space="preserve">FY2023 EBITDA margin</t>
  </si>
  <si>
    <t xml:space="preserve">FY2023 estimated by reversing FY2024 margin trend. FY2026E+ ramps toward regional peer margins (Nippon Paint ~18%, Asian Paints ~19-21%) reflecting SEA's higher-growth market mix.</t>
  </si>
  <si>
    <t xml:space="preserve">FY2024 EBITDA margin (= AkzoNobel Group Decorative actual)</t>
  </si>
  <si>
    <t xml:space="preserve">PUBLIC FACT (Group-level proxy)</t>
  </si>
  <si>
    <t xml:space="preserve">AkzoNobel FY2024/FY2025 results releases report Decorative Paints (global segment) adjusted EBITDA margin of 14.2% (2024) and 15.8% (2025) — used here as a SEA proxy since no SEA-only figure is disclosed.</t>
  </si>
  <si>
    <t xml:space="preserve">FY2025 EBITDA margin (= AkzoNobel Group Decorative actual)</t>
  </si>
  <si>
    <t xml:space="preserve">FY2026E EBITDA margin</t>
  </si>
  <si>
    <t xml:space="preserve">FY2027E EBITDA margin</t>
  </si>
  <si>
    <t xml:space="preserve">FY2028E EBITDA margin</t>
  </si>
  <si>
    <t xml:space="preserve">FY2029E EBITDA margin</t>
  </si>
  <si>
    <t xml:space="preserve">FY2030E EBITDA margin</t>
  </si>
  <si>
    <t xml:space="preserve">5. Carve-Out Cost Bridge (ILLUSTRATIVE)</t>
  </si>
  <si>
    <t xml:space="preserve">TSA cost % of revenue — FY2023</t>
  </si>
  <si>
    <t xml:space="preserve">Transition Services Agreement cost assumed at 3.0% of revenue in first full carve-out year (FY2026E), halving in FY2027E, and eliminated from FY2028E as standalone systems (IT, finance, HR, procurement) are built out. No AkzoNobel-specific TSA terms are publicly disclosed.</t>
  </si>
  <si>
    <t xml:space="preserve">TSA cost % of revenue — FY2024</t>
  </si>
  <si>
    <t xml:space="preserve">TSA cost % of revenue — FY2025</t>
  </si>
  <si>
    <t xml:space="preserve">TSA cost % of revenue — FY2026E</t>
  </si>
  <si>
    <t xml:space="preserve">TSA cost % of revenue — FY2027E</t>
  </si>
  <si>
    <t xml:space="preserve">TSA cost % of revenue — FY2028E</t>
  </si>
  <si>
    <t xml:space="preserve">TSA cost % of revenue — FY2029E</t>
  </si>
  <si>
    <t xml:space="preserve">TSA cost % of revenue — FY2030E</t>
  </si>
  <si>
    <t xml:space="preserve">Stranded / standalone replacement cost % of revenue — FY2023</t>
  </si>
  <si>
    <t xml:space="preserve">Illustrative cost of replacing parent shared-service capacity (regional finance/IT/procurement) not captured in the standalone opex build — assumed 1.0% of revenue in FY2026E-FY2027E, then nil.</t>
  </si>
  <si>
    <t xml:space="preserve">Stranded / standalone replacement cost % of revenue — FY2024</t>
  </si>
  <si>
    <t xml:space="preserve">Stranded / standalone replacement cost % of revenue — FY2025</t>
  </si>
  <si>
    <t xml:space="preserve">Stranded / standalone replacement cost % of revenue — FY2026E</t>
  </si>
  <si>
    <t xml:space="preserve">Stranded / standalone replacement cost % of revenue — FY2027E</t>
  </si>
  <si>
    <t xml:space="preserve">Stranded / standalone replacement cost % of revenue — FY2028E</t>
  </si>
  <si>
    <t xml:space="preserve">Stranded / standalone replacement cost % of revenue — FY2029E</t>
  </si>
  <si>
    <t xml:space="preserve">Stranded / standalone replacement cost % of revenue — FY2030E</t>
  </si>
  <si>
    <t xml:space="preserve">One-time separation cost, FY2026E only (EUR mm)</t>
  </si>
  <si>
    <t xml:space="preserve">Illustrative one-time cost of legal entity separation, systems carve-out and rebranding, consistent with typical mid-market carve-out separation cost benchmarks (2-3% of revenue in year 1). No disclosed figure exists.</t>
  </si>
  <si>
    <t xml:space="preserve">6. D&amp;A and Capex (ILLUSTRATIVE)</t>
  </si>
  <si>
    <t xml:space="preserve">D&amp;A % of revenue (flat, all years)</t>
  </si>
  <si>
    <t xml:space="preserve">Typical capital-light paints manufacturing/blending benchmark; no AkzoNobel SEA asset-level disclosure exists.</t>
  </si>
  <si>
    <t xml:space="preserve">Capex % of revenue — FY2023</t>
  </si>
  <si>
    <t xml:space="preserve">Base capex at 3.0% of revenue (paints-industry maintenance capex benchmark); elevated to 3.5% in FY2026E-FY2027E for illustrative separation-related capex (standalone ERP/systems, facility branding).</t>
  </si>
  <si>
    <t xml:space="preserve">Capex % of revenue — FY2024</t>
  </si>
  <si>
    <t xml:space="preserve">Capex % of revenue — FY2025</t>
  </si>
  <si>
    <t xml:space="preserve">Capex % of revenue — FY2026E</t>
  </si>
  <si>
    <t xml:space="preserve">Capex % of revenue — FY2027E</t>
  </si>
  <si>
    <t xml:space="preserve">Capex % of revenue — FY2028E</t>
  </si>
  <si>
    <t xml:space="preserve">Capex % of revenue — FY2029E</t>
  </si>
  <si>
    <t xml:space="preserve">Capex % of revenue — FY2030E</t>
  </si>
  <si>
    <t xml:space="preserve">7. Working Capital (ILLUSTRATIVE — industry-typical paints distribution terms)</t>
  </si>
  <si>
    <t xml:space="preserve">Days Sales Outstanding (DSO)</t>
  </si>
  <si>
    <t xml:space="preserve">Typical trade-distribution DSO for regional paints businesses selling through dealer networks.</t>
  </si>
  <si>
    <t xml:space="preserve">Days Inventory Outstanding (DIO)</t>
  </si>
  <si>
    <t xml:space="preserve">Typical finished-goods + raw-material inventory cover for a regional paints manufacturer.</t>
  </si>
  <si>
    <t xml:space="preserve">Days Payable Outstanding (DPO)</t>
  </si>
  <si>
    <t xml:space="preserve">Typical supplier payment terms for resin/pigment/packaging inputs in SEA.</t>
  </si>
  <si>
    <t xml:space="preserve">8. Tax (statutory rates = PUBLIC FACT; blended rate = ANALYST CALCULATION)</t>
  </si>
  <si>
    <t xml:space="preserve">Indonesia statutory CIT rate</t>
  </si>
  <si>
    <t xml:space="preserve">OECD Corporate Tax Statistics 2026 / Trading Economics, 2026.</t>
  </si>
  <si>
    <t xml:space="preserve">Thailand statutory CIT rate</t>
  </si>
  <si>
    <t xml:space="preserve">Thaicore / OECD Corporate Tax Statistics 2026.</t>
  </si>
  <si>
    <t xml:space="preserve">Malaysia statutory CIT rate</t>
  </si>
  <si>
    <t xml:space="preserve">Trading Economics / OECD Corporate Tax Statistics 2026.</t>
  </si>
  <si>
    <t xml:space="preserve">Vietnam statutory CIT rate</t>
  </si>
  <si>
    <t xml:space="preserve">Blended effective tax rate (revenue-weighted)</t>
  </si>
  <si>
    <t xml:space="preserve">ANALYST CALCULATION</t>
  </si>
  <si>
    <t xml:space="preserve">Revenue-weighted average of the four statutory rates above using Section 2 country splits. Does NOT reflect any AkzoNobel-specific incentives, tax holidays, or transfer-pricing structure, which are not publicly disclosed.</t>
  </si>
  <si>
    <t xml:space="preserve">9. WACC (Rf/ERP/CRP/cost of debt/leverage ILLUSTRATIVE; beta ANALYST CALCULATION from live peer data, updated 2026-09-18)</t>
  </si>
  <si>
    <t xml:space="preserve">Risk-free rate</t>
  </si>
  <si>
    <t xml:space="preserve">Illustrative USD/EUR-blended long-term risk-free proxy.</t>
  </si>
  <si>
    <t xml:space="preserve">Equity risk premium</t>
  </si>
  <si>
    <t xml:space="preserve">Standard long-run global equity risk premium assumption.</t>
  </si>
  <si>
    <t xml:space="preserve">Relevered beta (peer-based)</t>
  </si>
  <si>
    <t xml:space="preserve">Median 5-year beta of the 5 trading comps with a reported beta (Sherwin-Williams 1.089, PPG 1.063, Nippon Paint 0.821, Asian Paints 0.282, Berger Paints 0.441; Kansai Paint has no beta reported) — pulled live via Yahoo Finance (yfinance), 2026-09-18. Updated from the original 1.00 illustrative placeholder once real peer market data became available. Not independently re-levered from peer capital structures.</t>
  </si>
  <si>
    <t xml:space="preserve">SEA country risk premium (blended)</t>
  </si>
  <si>
    <t xml:space="preserve">Illustrative blended country risk premium for Indonesia/Thailand/Malaysia/Vietnam exposure versus a developed-market base rate.</t>
  </si>
  <si>
    <t xml:space="preserve">Cost of equity</t>
  </si>
  <si>
    <t xml:space="preserve">Pre-tax cost of debt</t>
  </si>
  <si>
    <t xml:space="preserve">Illustrative regional-market borrowing rate for a mid-cap carve-out.</t>
  </si>
  <si>
    <t xml:space="preserve">After-tax cost of debt</t>
  </si>
  <si>
    <t xml:space="preserve">Target Debt / (Debt + Equity)</t>
  </si>
  <si>
    <t xml:space="preserve">Illustrative conservative carve-out capital structure.</t>
  </si>
  <si>
    <t xml:space="preserve">WACC</t>
  </si>
  <si>
    <t xml:space="preserve">Terminal growth rate</t>
  </si>
  <si>
    <t xml:space="preserve">Illustrative long-run nominal GDP/inflation blend for Indonesia/Thailand/Malaysia/Vietnam.</t>
  </si>
  <si>
    <t xml:space="preserve">Revenue Build — SEA Decorative Paints Carve-Out</t>
  </si>
  <si>
    <t xml:space="preserve">All figures EUR mm unless noted. FY2023-FY2024 are back-solved from the FY2025 public anchor (see README) — not observed actuals.</t>
  </si>
  <si>
    <t xml:space="preserve">(EUR mm)</t>
  </si>
  <si>
    <t xml:space="preserve">FY2023</t>
  </si>
  <si>
    <t xml:space="preserve">FY2024</t>
  </si>
  <si>
    <t xml:space="preserve">FY2025</t>
  </si>
  <si>
    <t xml:space="preserve">FY2026E</t>
  </si>
  <si>
    <t xml:space="preserve">FY2027E</t>
  </si>
  <si>
    <t xml:space="preserve">FY2028E</t>
  </si>
  <si>
    <t xml:space="preserve">FY2029E</t>
  </si>
  <si>
    <t xml:space="preserve">FY2030E</t>
  </si>
  <si>
    <t xml:space="preserve">Total SEA Decorative Revenue</t>
  </si>
  <si>
    <t xml:space="preserve">  Revenue growth % YoY</t>
  </si>
  <si>
    <t xml:space="preserve">Indonesia</t>
  </si>
  <si>
    <t xml:space="preserve">Thailand</t>
  </si>
  <si>
    <t xml:space="preserve">Vietnam</t>
  </si>
  <si>
    <t xml:space="preserve">Malaysia</t>
  </si>
  <si>
    <t xml:space="preserve">Check: sum of countries = Total</t>
  </si>
  <si>
    <t xml:space="preserve">Working Capital Schedule</t>
  </si>
  <si>
    <t xml:space="preserve">COGS = Revenue x (1 - Gross Margin %). Days assumptions per Assumptions tab, Section 7 (ILLUSTRATIVE).</t>
  </si>
  <si>
    <t xml:space="preserve">Revenue (link)</t>
  </si>
  <si>
    <t xml:space="preserve">COGS</t>
  </si>
  <si>
    <t xml:space="preserve">Accounts Receivable</t>
  </si>
  <si>
    <t xml:space="preserve">Inventory</t>
  </si>
  <si>
    <t xml:space="preserve">Accounts Payable</t>
  </si>
  <si>
    <t xml:space="preserve">Net Working Capital</t>
  </si>
  <si>
    <t xml:space="preserve">NWC / Revenue %</t>
  </si>
  <si>
    <t xml:space="preserve">Change in NWC (increase = cash use)</t>
  </si>
  <si>
    <t xml:space="preserve">n/a (no prior year)</t>
  </si>
  <si>
    <t xml:space="preserve">Capex and Depreciation &amp; Amortization Schedule</t>
  </si>
  <si>
    <t xml:space="preserve">Capex % and D&amp;A % of revenue per Assumptions tab, Section 6 (ILLUSTRATIVE).</t>
  </si>
  <si>
    <t xml:space="preserve">Capex</t>
  </si>
  <si>
    <t xml:space="preserve">Capex % of revenue</t>
  </si>
  <si>
    <t xml:space="preserve">D&amp;A</t>
  </si>
  <si>
    <t xml:space="preserve">D&amp;A % of revenue</t>
  </si>
  <si>
    <t xml:space="preserve">Carve-Out P&amp;L and Unlevered Free Cash Flow</t>
  </si>
  <si>
    <t xml:space="preserve">EUR mm. See Assumptions tab for all margin, cost-bridge, tax, capex and D&amp;A inputs (ILLUSTRATIVE unless marked PUBLIC FACT).</t>
  </si>
  <si>
    <t xml:space="preserve">Revenue</t>
  </si>
  <si>
    <t xml:space="preserve">Gross Profit</t>
  </si>
  <si>
    <t xml:space="preserve">  Gross margin %</t>
  </si>
  <si>
    <t xml:space="preserve">EBITDA</t>
  </si>
  <si>
    <t xml:space="preserve">  EBITDA margin %</t>
  </si>
  <si>
    <t xml:space="preserve">Operating expenses — carve-out mechanics</t>
  </si>
  <si>
    <t xml:space="preserve">  TSA costs</t>
  </si>
  <si>
    <t xml:space="preserve">  Stranded / standalone replacement costs</t>
  </si>
  <si>
    <t xml:space="preserve">  Standalone operating expenses (plug: Gross Profit less EBITDA less items above)</t>
  </si>
  <si>
    <t xml:space="preserve">Check: Gross Profit + Opex items = EBITDA</t>
  </si>
  <si>
    <t xml:space="preserve">EBIT</t>
  </si>
  <si>
    <t xml:space="preserve">Cash taxes (= EBIT x blended effective tax rate; simplified, no timing differences)</t>
  </si>
  <si>
    <t xml:space="preserve">Change in NWC (increase = cash outflow)</t>
  </si>
  <si>
    <t xml:space="preserve">n/a</t>
  </si>
  <si>
    <t xml:space="preserve">One-time separation costs (FY2026E only, illustrative, pre-tax)</t>
  </si>
  <si>
    <t xml:space="preserve">Unlevered Free Cash Flow</t>
  </si>
  <si>
    <t xml:space="preserve">DCF Valuation — Unlevered Free Cash Flow</t>
  </si>
  <si>
    <t xml:space="preserve">Discounts FY2026E-FY2030E unlevered FCF from Carveout_PnL at the WACC derived on the Assumptions tab. Enterprise Value only — see equity bridge note below for the debt/cash disclosure limitation.</t>
  </si>
  <si>
    <t xml:space="preserve">Period (t)</t>
  </si>
  <si>
    <t xml:space="preserve">Discount factor @ WACC</t>
  </si>
  <si>
    <t xml:space="preserve">PV of FCF</t>
  </si>
  <si>
    <t xml:space="preserve">Terminal Value (Gordon Growth, on FY2030E FCF)</t>
  </si>
  <si>
    <t xml:space="preserve">PV of Terminal Value</t>
  </si>
  <si>
    <t xml:space="preserve">Sum of PV of FCF (FY2026E-FY2030E)</t>
  </si>
  <si>
    <t xml:space="preserve">Enterprise Value (EUR mm)</t>
  </si>
  <si>
    <t xml:space="preserve">  TV as % of Enterprise Value</t>
  </si>
  <si>
    <t xml:space="preserve">Implied EV / FY2026E Revenue</t>
  </si>
  <si>
    <t xml:space="preserve">Implied EV / FY2026E EBITDA</t>
  </si>
  <si>
    <t xml:space="preserve">Equity Bridge</t>
  </si>
  <si>
    <t xml:space="preserve">Enterprise Value</t>
  </si>
  <si>
    <t xml:space="preserve">Less: Debt (asset-level, SEA carve-out)</t>
  </si>
  <si>
    <t xml:space="preserve">N/A — not publicly disclosed</t>
  </si>
  <si>
    <t xml:space="preserve">Plus: Cash (asset-level, SEA carve-out)</t>
  </si>
  <si>
    <t xml:space="preserve">Equity Value</t>
  </si>
  <si>
    <t xml:space="preserve">Cannot be calculated — see limitation note below</t>
  </si>
  <si>
    <t xml:space="preserve">LIMITATION: AkzoNobel does not publicly disclose asset-level (SEA decorative carve-out) debt or cash balances — these exist only at the consolidated group level and are not allocable to this perimeter without confidential carve-out balance sheet data. The Enterprise Value above is therefore presented as the primary valuation output; no Equity Value can be responsibly calculated from public information.</t>
  </si>
  <si>
    <t xml:space="preserve">Sensitivity: Enterprise Value (EUR mm) — WACC x Terminal Growth</t>
  </si>
  <si>
    <t xml:space="preserve">WACC \ g</t>
  </si>
  <si>
    <t xml:space="preserve">Source ID</t>
  </si>
  <si>
    <t xml:space="preserve">Source</t>
  </si>
  <si>
    <t xml:space="preserve">URL</t>
  </si>
  <si>
    <t xml:space="preserve">Used For</t>
  </si>
  <si>
    <t xml:space="preserve">SRC-001</t>
  </si>
  <si>
    <t xml:space="preserve">ION Analytics / Mergermarket, 'AkzoNobel taps Goldman Sachs for sale of Southeast Asia paints assets'</t>
  </si>
  <si>
    <t xml:space="preserve">https://ionanalytics.com/insights/mergermarket/akzonobel-taps-goldman-sachs-for-sale-of-southeast-asia-paints-assets/</t>
  </si>
  <si>
    <t xml:space="preserve">Revenue anchor (EUR 300m), country scope, ASEAN market size/CAGR basis</t>
  </si>
  <si>
    <t xml:space="preserve">SRC-013</t>
  </si>
  <si>
    <t xml:space="preserve">PCI Magazine, '2026 Global Top 10: No. 3, AkzoNobel' (FY2025 segment results)</t>
  </si>
  <si>
    <t xml:space="preserve">https://www.pcimag.com/articles/114754-2026-global-top-10-no-3-akzonobel</t>
  </si>
  <si>
    <t xml:space="preserve">Group Decorative Paints EBITDA margin proxy (FY2024 14.2%, FY2025 15.8%)</t>
  </si>
  <si>
    <t xml:space="preserve">SRC-015</t>
  </si>
  <si>
    <t xml:space="preserve">AkzoNobel FY2025/FY2024 results releases (Decorative Paints segment margin)</t>
  </si>
  <si>
    <t xml:space="preserve">https://www.akzonobel.com/en/media/media-releases/q4-2025</t>
  </si>
  <si>
    <t xml:space="preserve">Corroborates Group Decorative Paints EBITDA margin trend</t>
  </si>
  <si>
    <t xml:space="preserve">SRC-016</t>
  </si>
  <si>
    <t xml:space="preserve">OECD Corporate Tax Statistics 2026 / Trading Economics / PwC Tax Summaries / Thaicore</t>
  </si>
  <si>
    <t xml:space="preserve">https://www.oecd.org/en/publications/corporate-tax-statistics-2026_73af6222-en.html</t>
  </si>
  <si>
    <t xml:space="preserve">Statutory CIT rates: Indonesia 22%, Thailand 20%, Malaysia 24%, Vietnam 20%</t>
  </si>
  <si>
    <t xml:space="preserve">SRC-017</t>
  </si>
  <si>
    <t xml:space="preserve">Multiples.vc / market commentary — Asian Paints, Nippon Paint, Kansai Paint EBITDA margins</t>
  </si>
  <si>
    <t xml:space="preserve">https://multiples.vc/public-comps/nippon-paint-valuation-multiples</t>
  </si>
  <si>
    <t xml:space="preserve">Peer EBITDA margin benchmarks used to justify forward margin ramp assumption</t>
  </si>
</sst>
</file>

<file path=xl/styles.xml><?xml version="1.0" encoding="utf-8"?>
<styleSheet xmlns="http://schemas.openxmlformats.org/spreadsheetml/2006/main">
  <numFmts count="9">
    <numFmt numFmtId="164" formatCode="General"/>
    <numFmt numFmtId="165" formatCode="#,##0.0;\(#,##0.0\);\-"/>
    <numFmt numFmtId="166" formatCode="0.000"/>
    <numFmt numFmtId="167" formatCode="0.0%"/>
    <numFmt numFmtId="168" formatCode="#,##0.0"/>
    <numFmt numFmtId="169" formatCode="0.00"/>
    <numFmt numFmtId="170" formatCode="0"/>
    <numFmt numFmtId="171" formatCode="0.00\x"/>
    <numFmt numFmtId="172"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sz val="10"/>
      <color rgb="FF000000"/>
      <name val="Arial"/>
      <family val="0"/>
      <charset val="1"/>
    </font>
    <font>
      <b val="true"/>
      <sz val="10"/>
      <name val="Arial"/>
      <family val="0"/>
      <charset val="1"/>
    </font>
    <font>
      <b val="true"/>
      <sz val="10"/>
      <color rgb="FFFFFFFF"/>
      <name val="Arial"/>
      <family val="0"/>
      <charset val="1"/>
    </font>
    <font>
      <b val="true"/>
      <sz val="10"/>
      <color rgb="FF1F3864"/>
      <name val="Arial"/>
      <family val="0"/>
      <charset val="1"/>
    </font>
    <font>
      <sz val="10"/>
      <color rgb="FF0000FF"/>
      <name val="Arial"/>
      <family val="0"/>
      <charset val="1"/>
    </font>
    <font>
      <b val="true"/>
      <sz val="10"/>
      <color rgb="FF000000"/>
      <name val="Arial"/>
      <family val="0"/>
      <charset val="1"/>
    </font>
    <font>
      <sz val="10"/>
      <color rgb="FF008000"/>
      <name val="Arial"/>
      <family val="0"/>
      <charset val="1"/>
    </font>
    <font>
      <b val="true"/>
      <sz val="10"/>
      <color rgb="FF008000"/>
      <name val="Arial"/>
      <family val="0"/>
      <charset val="1"/>
    </font>
    <font>
      <b val="true"/>
      <i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10" fillId="4"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4"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67" fontId="11" fillId="4"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7" fontId="11" fillId="3" borderId="0" xfId="0" applyFont="true" applyBorder="false" applyAlignment="true" applyProtection="false">
      <alignment horizontal="center"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72" fontId="6"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customHeight="false" zeroHeight="false" outlineLevelRow="0" outlineLevelCol="0"/>
  <cols>
    <col collapsed="false" customWidth="true" hidden="false" outlineLevel="0" max="1" min="1" style="0" width="115"/>
  </cols>
  <sheetData>
    <row r="1" customFormat="false" ht="17.35" hidden="false" customHeight="false" outlineLevel="0" collapsed="false">
      <c r="A1" s="1" t="s">
        <v>0</v>
      </c>
    </row>
    <row r="2" customFormat="false" ht="21.65" hidden="false" customHeight="false" outlineLevel="0" collapsed="false">
      <c r="A2" s="2" t="s">
        <v>1</v>
      </c>
    </row>
    <row r="3" customFormat="false" ht="15" hidden="false" customHeight="false" outlineLevel="0" collapsed="false">
      <c r="A3" s="3"/>
    </row>
    <row r="4" customFormat="false" ht="35.5" hidden="false" customHeight="false" outlineLevel="0" collapsed="false">
      <c r="A4" s="4" t="s">
        <v>2</v>
      </c>
    </row>
    <row r="5" customFormat="false" ht="15" hidden="false" customHeight="false" outlineLevel="0" collapsed="false">
      <c r="A5" s="3"/>
    </row>
    <row r="6" customFormat="false" ht="58.4" hidden="false" customHeight="false" outlineLevel="0" collapsed="false">
      <c r="A6" s="4" t="s">
        <v>3</v>
      </c>
    </row>
    <row r="7" customFormat="false" ht="15" hidden="false" customHeight="false" outlineLevel="0" collapsed="false">
      <c r="A7" s="3"/>
    </row>
    <row r="8" customFormat="false" ht="15" hidden="false" customHeight="false" outlineLevel="0" collapsed="false">
      <c r="A8" s="4" t="s">
        <v>4</v>
      </c>
    </row>
    <row r="9" customFormat="false" ht="15" hidden="false" customHeight="false" outlineLevel="0" collapsed="false">
      <c r="A9" s="3" t="s">
        <v>5</v>
      </c>
    </row>
    <row r="10" customFormat="false" ht="15" hidden="false" customHeight="false" outlineLevel="0" collapsed="false">
      <c r="A10" s="3" t="s">
        <v>6</v>
      </c>
    </row>
    <row r="11" customFormat="false" ht="15" hidden="false" customHeight="false" outlineLevel="0" collapsed="false">
      <c r="A11" s="3" t="s">
        <v>7</v>
      </c>
    </row>
    <row r="12" customFormat="false" ht="15" hidden="false" customHeight="false" outlineLevel="0" collapsed="false">
      <c r="A12" s="3" t="s">
        <v>8</v>
      </c>
    </row>
    <row r="13" customFormat="false" ht="15" hidden="false" customHeight="false" outlineLevel="0" collapsed="false">
      <c r="A13" s="3"/>
    </row>
    <row r="14" customFormat="false" ht="46.95" hidden="false" customHeight="false" outlineLevel="0" collapsed="false">
      <c r="A14" s="4" t="s">
        <v>9</v>
      </c>
    </row>
    <row r="15" customFormat="false" ht="15" hidden="false" customHeight="false" outlineLevel="0" collapsed="false">
      <c r="A15" s="3"/>
    </row>
    <row r="16" customFormat="false" ht="58.4" hidden="false" customHeight="false" outlineLevel="0" collapsed="false">
      <c r="A16" s="4" t="s">
        <v>10</v>
      </c>
    </row>
    <row r="17" customFormat="false" ht="15" hidden="false" customHeight="false" outlineLevel="0" collapsed="false">
      <c r="A17" s="3"/>
    </row>
    <row r="18" customFormat="false" ht="46.95" hidden="false" customHeight="false" outlineLevel="0" collapsed="false">
      <c r="A18" s="4" t="s">
        <v>11</v>
      </c>
    </row>
    <row r="19" customFormat="false" ht="15" hidden="false" customHeight="false" outlineLevel="0" collapsed="false">
      <c r="A19" s="3"/>
    </row>
    <row r="20" customFormat="false" ht="15" hidden="false" customHeight="false" outlineLevel="0" collapsed="false">
      <c r="A20" s="4" t="s">
        <v>12</v>
      </c>
    </row>
    <row r="21" customFormat="false" ht="15" hidden="false" customHeight="false" outlineLevel="0" collapsed="false">
      <c r="A21" s="3"/>
    </row>
    <row r="22" customFormat="false" ht="24.05" hidden="false" customHeight="false" outlineLevel="0" collapsed="false">
      <c r="A22" s="3"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22"/>
    <col collapsed="false" customWidth="true" hidden="false" outlineLevel="0" max="4" min="4" style="0" width="55"/>
    <col collapsed="false" customWidth="true" hidden="false" outlineLevel="0" max="9" min="5" style="0" width="12"/>
  </cols>
  <sheetData>
    <row r="1" customFormat="false" ht="17.35" hidden="false" customHeight="false" outlineLevel="0" collapsed="false">
      <c r="A1" s="1" t="s">
        <v>14</v>
      </c>
    </row>
    <row r="2" customFormat="false" ht="15" hidden="false" customHeight="false" outlineLevel="0" collapsed="false">
      <c r="A2" s="5" t="s">
        <v>15</v>
      </c>
    </row>
    <row r="4" customFormat="false" ht="15" hidden="false" customHeight="false" outlineLevel="0" collapsed="false">
      <c r="A4" s="6" t="s">
        <v>16</v>
      </c>
      <c r="B4" s="6" t="s">
        <v>17</v>
      </c>
      <c r="C4" s="6" t="s">
        <v>18</v>
      </c>
      <c r="D4" s="6" t="s">
        <v>19</v>
      </c>
    </row>
    <row r="6" customFormat="false" ht="15" hidden="false" customHeight="false" outlineLevel="0" collapsed="false">
      <c r="A6" s="7" t="s">
        <v>20</v>
      </c>
      <c r="B6" s="8"/>
      <c r="C6" s="8"/>
      <c r="D6" s="8"/>
    </row>
    <row r="7" customFormat="false" ht="31.9" hidden="false" customHeight="false" outlineLevel="0" collapsed="false">
      <c r="A7" s="9" t="s">
        <v>21</v>
      </c>
      <c r="B7" s="10" t="n">
        <v>300</v>
      </c>
      <c r="C7" s="5" t="s">
        <v>22</v>
      </c>
      <c r="D7" s="2" t="s">
        <v>23</v>
      </c>
    </row>
    <row r="8" customFormat="false" ht="15" hidden="false" customHeight="false" outlineLevel="0" collapsed="false">
      <c r="A8" s="9" t="s">
        <v>24</v>
      </c>
      <c r="B8" s="11" t="n">
        <v>1.153</v>
      </c>
      <c r="C8" s="5" t="s">
        <v>22</v>
      </c>
      <c r="D8" s="2" t="s">
        <v>25</v>
      </c>
    </row>
    <row r="10" customFormat="false" ht="15" hidden="false" customHeight="false" outlineLevel="0" collapsed="false">
      <c r="A10" s="7" t="s">
        <v>26</v>
      </c>
      <c r="B10" s="8"/>
      <c r="C10" s="8"/>
      <c r="D10" s="8"/>
    </row>
    <row r="11" customFormat="false" ht="42.15" hidden="false" customHeight="false" outlineLevel="0" collapsed="false">
      <c r="A11" s="9" t="s">
        <v>27</v>
      </c>
      <c r="B11" s="12" t="n">
        <v>0.4</v>
      </c>
      <c r="C11" s="5" t="s">
        <v>28</v>
      </c>
      <c r="D11" s="2" t="s">
        <v>29</v>
      </c>
    </row>
    <row r="12" customFormat="false" ht="21.65" hidden="false" customHeight="false" outlineLevel="0" collapsed="false">
      <c r="A12" s="9" t="s">
        <v>30</v>
      </c>
      <c r="B12" s="12" t="n">
        <v>0.25</v>
      </c>
      <c r="C12" s="5" t="s">
        <v>28</v>
      </c>
      <c r="D12" s="2" t="s">
        <v>31</v>
      </c>
    </row>
    <row r="13" customFormat="false" ht="21.65" hidden="false" customHeight="false" outlineLevel="0" collapsed="false">
      <c r="A13" s="9" t="s">
        <v>32</v>
      </c>
      <c r="B13" s="12" t="n">
        <v>0.2</v>
      </c>
      <c r="C13" s="5" t="s">
        <v>28</v>
      </c>
      <c r="D13" s="2" t="s">
        <v>33</v>
      </c>
    </row>
    <row r="14" customFormat="false" ht="21.65" hidden="false" customHeight="false" outlineLevel="0" collapsed="false">
      <c r="A14" s="9" t="s">
        <v>34</v>
      </c>
      <c r="B14" s="12" t="n">
        <v>0.15</v>
      </c>
      <c r="C14" s="5" t="s">
        <v>28</v>
      </c>
      <c r="D14" s="2" t="s">
        <v>35</v>
      </c>
    </row>
    <row r="15" customFormat="false" ht="15" hidden="false" customHeight="false" outlineLevel="0" collapsed="false">
      <c r="A15" s="5" t="s">
        <v>36</v>
      </c>
      <c r="B15" s="13" t="n">
        <f aca="false">SUM(B11:B14)</f>
        <v>1</v>
      </c>
    </row>
    <row r="17" customFormat="false" ht="15" hidden="false" customHeight="false" outlineLevel="0" collapsed="false">
      <c r="A17" s="7" t="s">
        <v>37</v>
      </c>
      <c r="B17" s="8"/>
      <c r="C17" s="8"/>
      <c r="D17" s="8"/>
    </row>
    <row r="18" customFormat="false" ht="31.9" hidden="false" customHeight="false" outlineLevel="0" collapsed="false">
      <c r="A18" s="9" t="s">
        <v>38</v>
      </c>
      <c r="B18" s="14" t="n">
        <v>0.045</v>
      </c>
      <c r="C18" s="5" t="s">
        <v>28</v>
      </c>
      <c r="D18" s="2" t="s">
        <v>39</v>
      </c>
    </row>
    <row r="19" customFormat="false" ht="31.9" hidden="false" customHeight="false" outlineLevel="0" collapsed="false">
      <c r="A19" s="9" t="s">
        <v>40</v>
      </c>
      <c r="B19" s="14" t="n">
        <v>0.048</v>
      </c>
      <c r="C19" s="5" t="s">
        <v>28</v>
      </c>
      <c r="D19" s="2" t="s">
        <v>39</v>
      </c>
    </row>
    <row r="20" customFormat="false" ht="31.9" hidden="false" customHeight="false" outlineLevel="0" collapsed="false">
      <c r="A20" s="9" t="s">
        <v>41</v>
      </c>
      <c r="B20" s="14" t="n">
        <v>0.05</v>
      </c>
      <c r="C20" s="5" t="s">
        <v>28</v>
      </c>
      <c r="D20" s="2" t="s">
        <v>39</v>
      </c>
    </row>
    <row r="21" customFormat="false" ht="31.9" hidden="false" customHeight="false" outlineLevel="0" collapsed="false">
      <c r="A21" s="9" t="s">
        <v>42</v>
      </c>
      <c r="B21" s="14" t="n">
        <v>0.052</v>
      </c>
      <c r="C21" s="5" t="s">
        <v>28</v>
      </c>
      <c r="D21" s="2" t="s">
        <v>39</v>
      </c>
    </row>
    <row r="22" customFormat="false" ht="31.9" hidden="false" customHeight="false" outlineLevel="0" collapsed="false">
      <c r="A22" s="9" t="s">
        <v>43</v>
      </c>
      <c r="B22" s="14" t="n">
        <v>0.05</v>
      </c>
      <c r="C22" s="5" t="s">
        <v>28</v>
      </c>
      <c r="D22" s="2" t="s">
        <v>39</v>
      </c>
    </row>
    <row r="23" customFormat="false" ht="31.9" hidden="false" customHeight="false" outlineLevel="0" collapsed="false">
      <c r="A23" s="9" t="s">
        <v>44</v>
      </c>
      <c r="B23" s="14" t="n">
        <v>0.048</v>
      </c>
      <c r="C23" s="5" t="s">
        <v>28</v>
      </c>
      <c r="D23" s="2" t="s">
        <v>39</v>
      </c>
    </row>
    <row r="24" customFormat="false" ht="31.9" hidden="false" customHeight="false" outlineLevel="0" collapsed="false">
      <c r="A24" s="9" t="s">
        <v>45</v>
      </c>
      <c r="B24" s="14" t="n">
        <v>0.046</v>
      </c>
      <c r="C24" s="5" t="s">
        <v>28</v>
      </c>
      <c r="D24" s="2" t="s">
        <v>39</v>
      </c>
    </row>
    <row r="26" customFormat="false" ht="15" hidden="false" customHeight="false" outlineLevel="0" collapsed="false">
      <c r="A26" s="7" t="s">
        <v>46</v>
      </c>
      <c r="B26" s="8"/>
      <c r="C26" s="8"/>
      <c r="D26" s="8"/>
    </row>
    <row r="27" customFormat="false" ht="21.65" hidden="false" customHeight="false" outlineLevel="0" collapsed="false">
      <c r="A27" s="9" t="s">
        <v>47</v>
      </c>
      <c r="B27" s="12" t="n">
        <v>0.45</v>
      </c>
      <c r="C27" s="5" t="s">
        <v>28</v>
      </c>
      <c r="D27" s="2" t="s">
        <v>48</v>
      </c>
    </row>
    <row r="28" customFormat="false" ht="31.9" hidden="false" customHeight="false" outlineLevel="0" collapsed="false">
      <c r="A28" s="9" t="s">
        <v>49</v>
      </c>
      <c r="B28" s="12" t="n">
        <v>0.13</v>
      </c>
      <c r="C28" s="5" t="s">
        <v>28</v>
      </c>
      <c r="D28" s="2" t="s">
        <v>50</v>
      </c>
    </row>
    <row r="29" customFormat="false" ht="31.9" hidden="false" customHeight="false" outlineLevel="0" collapsed="false">
      <c r="A29" s="9" t="s">
        <v>51</v>
      </c>
      <c r="B29" s="14" t="n">
        <v>0.142</v>
      </c>
      <c r="C29" s="5" t="s">
        <v>52</v>
      </c>
      <c r="D29" s="2" t="s">
        <v>53</v>
      </c>
    </row>
    <row r="30" customFormat="false" ht="31.9" hidden="false" customHeight="false" outlineLevel="0" collapsed="false">
      <c r="A30" s="9" t="s">
        <v>54</v>
      </c>
      <c r="B30" s="14" t="n">
        <v>0.158</v>
      </c>
      <c r="C30" s="5" t="s">
        <v>52</v>
      </c>
      <c r="D30" s="2" t="s">
        <v>53</v>
      </c>
    </row>
    <row r="31" customFormat="false" ht="31.9" hidden="false" customHeight="false" outlineLevel="0" collapsed="false">
      <c r="A31" s="9" t="s">
        <v>55</v>
      </c>
      <c r="B31" s="12" t="n">
        <v>0.165</v>
      </c>
      <c r="C31" s="5" t="s">
        <v>28</v>
      </c>
      <c r="D31" s="2" t="s">
        <v>50</v>
      </c>
    </row>
    <row r="32" customFormat="false" ht="31.9" hidden="false" customHeight="false" outlineLevel="0" collapsed="false">
      <c r="A32" s="9" t="s">
        <v>56</v>
      </c>
      <c r="B32" s="12" t="n">
        <v>0.17</v>
      </c>
      <c r="C32" s="5" t="s">
        <v>28</v>
      </c>
      <c r="D32" s="2" t="s">
        <v>50</v>
      </c>
    </row>
    <row r="33" customFormat="false" ht="31.9" hidden="false" customHeight="false" outlineLevel="0" collapsed="false">
      <c r="A33" s="9" t="s">
        <v>57</v>
      </c>
      <c r="B33" s="12" t="n">
        <v>0.175</v>
      </c>
      <c r="C33" s="5" t="s">
        <v>28</v>
      </c>
      <c r="D33" s="2" t="s">
        <v>50</v>
      </c>
    </row>
    <row r="34" customFormat="false" ht="31.9" hidden="false" customHeight="false" outlineLevel="0" collapsed="false">
      <c r="A34" s="9" t="s">
        <v>58</v>
      </c>
      <c r="B34" s="12" t="n">
        <v>0.178</v>
      </c>
      <c r="C34" s="5" t="s">
        <v>28</v>
      </c>
      <c r="D34" s="2" t="s">
        <v>50</v>
      </c>
    </row>
    <row r="35" customFormat="false" ht="31.9" hidden="false" customHeight="false" outlineLevel="0" collapsed="false">
      <c r="A35" s="9" t="s">
        <v>59</v>
      </c>
      <c r="B35" s="12" t="n">
        <v>0.18</v>
      </c>
      <c r="C35" s="5" t="s">
        <v>28</v>
      </c>
      <c r="D35" s="2" t="s">
        <v>50</v>
      </c>
    </row>
    <row r="37" customFormat="false" ht="15" hidden="false" customHeight="false" outlineLevel="0" collapsed="false">
      <c r="A37" s="7" t="s">
        <v>60</v>
      </c>
      <c r="B37" s="8"/>
      <c r="C37" s="8"/>
      <c r="D37" s="8"/>
    </row>
    <row r="38" customFormat="false" ht="42.15" hidden="false" customHeight="false" outlineLevel="0" collapsed="false">
      <c r="A38" s="9" t="s">
        <v>61</v>
      </c>
      <c r="B38" s="14" t="n">
        <v>0</v>
      </c>
      <c r="C38" s="5" t="s">
        <v>28</v>
      </c>
      <c r="D38" s="2" t="s">
        <v>62</v>
      </c>
    </row>
    <row r="39" customFormat="false" ht="42.15" hidden="false" customHeight="false" outlineLevel="0" collapsed="false">
      <c r="A39" s="9" t="s">
        <v>63</v>
      </c>
      <c r="B39" s="14" t="n">
        <v>0</v>
      </c>
      <c r="C39" s="5" t="s">
        <v>28</v>
      </c>
      <c r="D39" s="2" t="s">
        <v>62</v>
      </c>
    </row>
    <row r="40" customFormat="false" ht="42.15" hidden="false" customHeight="false" outlineLevel="0" collapsed="false">
      <c r="A40" s="9" t="s">
        <v>64</v>
      </c>
      <c r="B40" s="14" t="n">
        <v>0</v>
      </c>
      <c r="C40" s="5" t="s">
        <v>28</v>
      </c>
      <c r="D40" s="2" t="s">
        <v>62</v>
      </c>
    </row>
    <row r="41" customFormat="false" ht="42.15" hidden="false" customHeight="false" outlineLevel="0" collapsed="false">
      <c r="A41" s="9" t="s">
        <v>65</v>
      </c>
      <c r="B41" s="14" t="n">
        <v>0.03</v>
      </c>
      <c r="C41" s="5" t="s">
        <v>28</v>
      </c>
      <c r="D41" s="2" t="s">
        <v>62</v>
      </c>
    </row>
    <row r="42" customFormat="false" ht="42.15" hidden="false" customHeight="false" outlineLevel="0" collapsed="false">
      <c r="A42" s="9" t="s">
        <v>66</v>
      </c>
      <c r="B42" s="14" t="n">
        <v>0.015</v>
      </c>
      <c r="C42" s="5" t="s">
        <v>28</v>
      </c>
      <c r="D42" s="2" t="s">
        <v>62</v>
      </c>
    </row>
    <row r="43" customFormat="false" ht="42.15" hidden="false" customHeight="false" outlineLevel="0" collapsed="false">
      <c r="A43" s="9" t="s">
        <v>67</v>
      </c>
      <c r="B43" s="14" t="n">
        <v>0</v>
      </c>
      <c r="C43" s="5" t="s">
        <v>28</v>
      </c>
      <c r="D43" s="2" t="s">
        <v>62</v>
      </c>
    </row>
    <row r="44" customFormat="false" ht="42.15" hidden="false" customHeight="false" outlineLevel="0" collapsed="false">
      <c r="A44" s="9" t="s">
        <v>68</v>
      </c>
      <c r="B44" s="14" t="n">
        <v>0</v>
      </c>
      <c r="C44" s="5" t="s">
        <v>28</v>
      </c>
      <c r="D44" s="2" t="s">
        <v>62</v>
      </c>
    </row>
    <row r="45" customFormat="false" ht="42.15" hidden="false" customHeight="false" outlineLevel="0" collapsed="false">
      <c r="A45" s="9" t="s">
        <v>69</v>
      </c>
      <c r="B45" s="14" t="n">
        <v>0</v>
      </c>
      <c r="C45" s="5" t="s">
        <v>28</v>
      </c>
      <c r="D45" s="2" t="s">
        <v>62</v>
      </c>
    </row>
    <row r="47" customFormat="false" ht="31.9" hidden="false" customHeight="false" outlineLevel="0" collapsed="false">
      <c r="A47" s="9" t="s">
        <v>70</v>
      </c>
      <c r="B47" s="14" t="n">
        <v>0</v>
      </c>
      <c r="C47" s="5" t="s">
        <v>28</v>
      </c>
      <c r="D47" s="2" t="s">
        <v>71</v>
      </c>
    </row>
    <row r="48" customFormat="false" ht="31.9" hidden="false" customHeight="false" outlineLevel="0" collapsed="false">
      <c r="A48" s="9" t="s">
        <v>72</v>
      </c>
      <c r="B48" s="14" t="n">
        <v>0</v>
      </c>
      <c r="C48" s="5" t="s">
        <v>28</v>
      </c>
      <c r="D48" s="2" t="s">
        <v>71</v>
      </c>
    </row>
    <row r="49" customFormat="false" ht="31.9" hidden="false" customHeight="false" outlineLevel="0" collapsed="false">
      <c r="A49" s="9" t="s">
        <v>73</v>
      </c>
      <c r="B49" s="14" t="n">
        <v>0</v>
      </c>
      <c r="C49" s="5" t="s">
        <v>28</v>
      </c>
      <c r="D49" s="2" t="s">
        <v>71</v>
      </c>
    </row>
    <row r="50" customFormat="false" ht="31.9" hidden="false" customHeight="false" outlineLevel="0" collapsed="false">
      <c r="A50" s="9" t="s">
        <v>74</v>
      </c>
      <c r="B50" s="14" t="n">
        <v>0.01</v>
      </c>
      <c r="C50" s="5" t="s">
        <v>28</v>
      </c>
      <c r="D50" s="2" t="s">
        <v>71</v>
      </c>
    </row>
    <row r="51" customFormat="false" ht="31.9" hidden="false" customHeight="false" outlineLevel="0" collapsed="false">
      <c r="A51" s="9" t="s">
        <v>75</v>
      </c>
      <c r="B51" s="14" t="n">
        <v>0.01</v>
      </c>
      <c r="C51" s="5" t="s">
        <v>28</v>
      </c>
      <c r="D51" s="2" t="s">
        <v>71</v>
      </c>
    </row>
    <row r="52" customFormat="false" ht="31.9" hidden="false" customHeight="false" outlineLevel="0" collapsed="false">
      <c r="A52" s="9" t="s">
        <v>76</v>
      </c>
      <c r="B52" s="14" t="n">
        <v>0</v>
      </c>
      <c r="C52" s="5" t="s">
        <v>28</v>
      </c>
      <c r="D52" s="2" t="s">
        <v>71</v>
      </c>
    </row>
    <row r="53" customFormat="false" ht="31.9" hidden="false" customHeight="false" outlineLevel="0" collapsed="false">
      <c r="A53" s="9" t="s">
        <v>77</v>
      </c>
      <c r="B53" s="14" t="n">
        <v>0</v>
      </c>
      <c r="C53" s="5" t="s">
        <v>28</v>
      </c>
      <c r="D53" s="2" t="s">
        <v>71</v>
      </c>
    </row>
    <row r="54" customFormat="false" ht="31.9" hidden="false" customHeight="false" outlineLevel="0" collapsed="false">
      <c r="A54" s="9" t="s">
        <v>78</v>
      </c>
      <c r="B54" s="14" t="n">
        <v>0</v>
      </c>
      <c r="C54" s="5" t="s">
        <v>28</v>
      </c>
      <c r="D54" s="2" t="s">
        <v>71</v>
      </c>
    </row>
    <row r="56" customFormat="false" ht="31.9" hidden="false" customHeight="false" outlineLevel="0" collapsed="false">
      <c r="A56" s="9" t="s">
        <v>79</v>
      </c>
      <c r="B56" s="15" t="n">
        <v>8</v>
      </c>
      <c r="C56" s="5" t="s">
        <v>28</v>
      </c>
      <c r="D56" s="2" t="s">
        <v>80</v>
      </c>
    </row>
    <row r="58" customFormat="false" ht="15" hidden="false" customHeight="false" outlineLevel="0" collapsed="false">
      <c r="A58" s="7" t="s">
        <v>81</v>
      </c>
      <c r="B58" s="8"/>
      <c r="C58" s="8"/>
      <c r="D58" s="8"/>
    </row>
    <row r="59" customFormat="false" ht="21.65" hidden="false" customHeight="false" outlineLevel="0" collapsed="false">
      <c r="A59" s="9" t="s">
        <v>82</v>
      </c>
      <c r="B59" s="12" t="n">
        <v>0.025</v>
      </c>
      <c r="C59" s="5" t="s">
        <v>28</v>
      </c>
      <c r="D59" s="2" t="s">
        <v>83</v>
      </c>
    </row>
    <row r="60" customFormat="false" ht="31.9" hidden="false" customHeight="false" outlineLevel="0" collapsed="false">
      <c r="A60" s="9" t="s">
        <v>84</v>
      </c>
      <c r="B60" s="14" t="n">
        <v>0.03</v>
      </c>
      <c r="C60" s="5" t="s">
        <v>28</v>
      </c>
      <c r="D60" s="2" t="s">
        <v>85</v>
      </c>
    </row>
    <row r="61" customFormat="false" ht="31.9" hidden="false" customHeight="false" outlineLevel="0" collapsed="false">
      <c r="A61" s="9" t="s">
        <v>86</v>
      </c>
      <c r="B61" s="14" t="n">
        <v>0.03</v>
      </c>
      <c r="C61" s="5" t="s">
        <v>28</v>
      </c>
      <c r="D61" s="2" t="s">
        <v>85</v>
      </c>
    </row>
    <row r="62" customFormat="false" ht="31.9" hidden="false" customHeight="false" outlineLevel="0" collapsed="false">
      <c r="A62" s="9" t="s">
        <v>87</v>
      </c>
      <c r="B62" s="14" t="n">
        <v>0.03</v>
      </c>
      <c r="C62" s="5" t="s">
        <v>28</v>
      </c>
      <c r="D62" s="2" t="s">
        <v>85</v>
      </c>
    </row>
    <row r="63" customFormat="false" ht="31.9" hidden="false" customHeight="false" outlineLevel="0" collapsed="false">
      <c r="A63" s="9" t="s">
        <v>88</v>
      </c>
      <c r="B63" s="14" t="n">
        <v>0.035</v>
      </c>
      <c r="C63" s="5" t="s">
        <v>28</v>
      </c>
      <c r="D63" s="2" t="s">
        <v>85</v>
      </c>
    </row>
    <row r="64" customFormat="false" ht="31.9" hidden="false" customHeight="false" outlineLevel="0" collapsed="false">
      <c r="A64" s="9" t="s">
        <v>89</v>
      </c>
      <c r="B64" s="14" t="n">
        <v>0.035</v>
      </c>
      <c r="C64" s="5" t="s">
        <v>28</v>
      </c>
      <c r="D64" s="2" t="s">
        <v>85</v>
      </c>
    </row>
    <row r="65" customFormat="false" ht="31.9" hidden="false" customHeight="false" outlineLevel="0" collapsed="false">
      <c r="A65" s="9" t="s">
        <v>90</v>
      </c>
      <c r="B65" s="14" t="n">
        <v>0.03</v>
      </c>
      <c r="C65" s="5" t="s">
        <v>28</v>
      </c>
      <c r="D65" s="2" t="s">
        <v>85</v>
      </c>
    </row>
    <row r="66" customFormat="false" ht="31.9" hidden="false" customHeight="false" outlineLevel="0" collapsed="false">
      <c r="A66" s="9" t="s">
        <v>91</v>
      </c>
      <c r="B66" s="14" t="n">
        <v>0.03</v>
      </c>
      <c r="C66" s="5" t="s">
        <v>28</v>
      </c>
      <c r="D66" s="2" t="s">
        <v>85</v>
      </c>
    </row>
    <row r="67" customFormat="false" ht="31.9" hidden="false" customHeight="false" outlineLevel="0" collapsed="false">
      <c r="A67" s="9" t="s">
        <v>92</v>
      </c>
      <c r="B67" s="14" t="n">
        <v>0.03</v>
      </c>
      <c r="C67" s="5" t="s">
        <v>28</v>
      </c>
      <c r="D67" s="2" t="s">
        <v>85</v>
      </c>
    </row>
    <row r="69" customFormat="false" ht="15" hidden="false" customHeight="false" outlineLevel="0" collapsed="false">
      <c r="A69" s="7" t="s">
        <v>93</v>
      </c>
      <c r="B69" s="8"/>
      <c r="C69" s="8"/>
      <c r="D69" s="8"/>
    </row>
    <row r="70" customFormat="false" ht="21.65" hidden="false" customHeight="false" outlineLevel="0" collapsed="false">
      <c r="A70" s="9" t="s">
        <v>94</v>
      </c>
      <c r="B70" s="16" t="n">
        <v>45</v>
      </c>
      <c r="C70" s="5" t="s">
        <v>28</v>
      </c>
      <c r="D70" s="2" t="s">
        <v>95</v>
      </c>
    </row>
    <row r="71" customFormat="false" ht="21.65" hidden="false" customHeight="false" outlineLevel="0" collapsed="false">
      <c r="A71" s="9" t="s">
        <v>96</v>
      </c>
      <c r="B71" s="16" t="n">
        <v>60</v>
      </c>
      <c r="C71" s="5" t="s">
        <v>28</v>
      </c>
      <c r="D71" s="2" t="s">
        <v>97</v>
      </c>
    </row>
    <row r="72" customFormat="false" ht="15" hidden="false" customHeight="false" outlineLevel="0" collapsed="false">
      <c r="A72" s="9" t="s">
        <v>98</v>
      </c>
      <c r="B72" s="16" t="n">
        <v>45</v>
      </c>
      <c r="C72" s="5" t="s">
        <v>28</v>
      </c>
      <c r="D72" s="2" t="s">
        <v>99</v>
      </c>
    </row>
    <row r="74" customFormat="false" ht="15" hidden="false" customHeight="false" outlineLevel="0" collapsed="false">
      <c r="A74" s="7" t="s">
        <v>100</v>
      </c>
      <c r="B74" s="8"/>
      <c r="C74" s="8"/>
      <c r="D74" s="8"/>
    </row>
    <row r="75" customFormat="false" ht="15" hidden="false" customHeight="false" outlineLevel="0" collapsed="false">
      <c r="A75" s="9" t="s">
        <v>101</v>
      </c>
      <c r="B75" s="14" t="n">
        <v>0.22</v>
      </c>
      <c r="C75" s="5" t="s">
        <v>22</v>
      </c>
      <c r="D75" s="2" t="s">
        <v>102</v>
      </c>
    </row>
    <row r="76" customFormat="false" ht="15" hidden="false" customHeight="false" outlineLevel="0" collapsed="false">
      <c r="A76" s="9" t="s">
        <v>103</v>
      </c>
      <c r="B76" s="14" t="n">
        <v>0.2</v>
      </c>
      <c r="C76" s="5" t="s">
        <v>22</v>
      </c>
      <c r="D76" s="2" t="s">
        <v>104</v>
      </c>
    </row>
    <row r="77" customFormat="false" ht="15" hidden="false" customHeight="false" outlineLevel="0" collapsed="false">
      <c r="A77" s="9" t="s">
        <v>105</v>
      </c>
      <c r="B77" s="14" t="n">
        <v>0.24</v>
      </c>
      <c r="C77" s="5" t="s">
        <v>22</v>
      </c>
      <c r="D77" s="2" t="s">
        <v>106</v>
      </c>
    </row>
    <row r="78" customFormat="false" ht="15" hidden="false" customHeight="false" outlineLevel="0" collapsed="false">
      <c r="A78" s="9" t="s">
        <v>107</v>
      </c>
      <c r="B78" s="14" t="n">
        <v>0.2</v>
      </c>
      <c r="C78" s="5" t="s">
        <v>22</v>
      </c>
      <c r="D78" s="2" t="s">
        <v>106</v>
      </c>
    </row>
    <row r="79" customFormat="false" ht="31.9" hidden="false" customHeight="false" outlineLevel="0" collapsed="false">
      <c r="A79" s="17" t="s">
        <v>108</v>
      </c>
      <c r="B79" s="18" t="n">
        <f aca="false">B11*B75+B12*B76+B13*B78+B14*B77</f>
        <v>0.214</v>
      </c>
      <c r="C79" s="5" t="s">
        <v>109</v>
      </c>
      <c r="D79" s="2" t="s">
        <v>110</v>
      </c>
    </row>
    <row r="81" customFormat="false" ht="15" hidden="false" customHeight="false" outlineLevel="0" collapsed="false">
      <c r="A81" s="7" t="s">
        <v>111</v>
      </c>
      <c r="B81" s="8"/>
      <c r="C81" s="8"/>
      <c r="D81" s="8"/>
    </row>
    <row r="82" customFormat="false" ht="15" hidden="false" customHeight="false" outlineLevel="0" collapsed="false">
      <c r="A82" s="9" t="s">
        <v>112</v>
      </c>
      <c r="B82" s="12" t="n">
        <v>0.04</v>
      </c>
      <c r="C82" s="5" t="s">
        <v>28</v>
      </c>
      <c r="D82" s="2" t="s">
        <v>113</v>
      </c>
    </row>
    <row r="83" customFormat="false" ht="15" hidden="false" customHeight="false" outlineLevel="0" collapsed="false">
      <c r="A83" s="9" t="s">
        <v>114</v>
      </c>
      <c r="B83" s="12" t="n">
        <v>0.055</v>
      </c>
      <c r="C83" s="5" t="s">
        <v>28</v>
      </c>
      <c r="D83" s="2" t="s">
        <v>115</v>
      </c>
    </row>
    <row r="84" customFormat="false" ht="62.65" hidden="false" customHeight="false" outlineLevel="0" collapsed="false">
      <c r="A84" s="9" t="s">
        <v>116</v>
      </c>
      <c r="B84" s="19" t="n">
        <v>0.821</v>
      </c>
      <c r="C84" s="5" t="s">
        <v>109</v>
      </c>
      <c r="D84" s="2" t="s">
        <v>117</v>
      </c>
    </row>
    <row r="85" customFormat="false" ht="31.9" hidden="false" customHeight="false" outlineLevel="0" collapsed="false">
      <c r="A85" s="9" t="s">
        <v>118</v>
      </c>
      <c r="B85" s="12" t="n">
        <v>0.015</v>
      </c>
      <c r="C85" s="5" t="s">
        <v>28</v>
      </c>
      <c r="D85" s="2" t="s">
        <v>119</v>
      </c>
    </row>
    <row r="86" customFormat="false" ht="15" hidden="false" customHeight="false" outlineLevel="0" collapsed="false">
      <c r="A86" s="17" t="s">
        <v>120</v>
      </c>
      <c r="B86" s="18" t="n">
        <f aca="false">B82+B84*B83+B85</f>
        <v>0.100155</v>
      </c>
      <c r="C86" s="5" t="s">
        <v>109</v>
      </c>
    </row>
    <row r="87" customFormat="false" ht="15" hidden="false" customHeight="false" outlineLevel="0" collapsed="false">
      <c r="A87" s="9" t="s">
        <v>121</v>
      </c>
      <c r="B87" s="12" t="n">
        <v>0.055</v>
      </c>
      <c r="C87" s="5" t="s">
        <v>28</v>
      </c>
      <c r="D87" s="2" t="s">
        <v>122</v>
      </c>
    </row>
    <row r="88" customFormat="false" ht="15" hidden="false" customHeight="false" outlineLevel="0" collapsed="false">
      <c r="A88" s="17" t="s">
        <v>123</v>
      </c>
      <c r="B88" s="18" t="n">
        <f aca="false">B87*(1-B79)</f>
        <v>0.04323</v>
      </c>
      <c r="C88" s="5" t="s">
        <v>109</v>
      </c>
    </row>
    <row r="89" customFormat="false" ht="15" hidden="false" customHeight="false" outlineLevel="0" collapsed="false">
      <c r="A89" s="9" t="s">
        <v>124</v>
      </c>
      <c r="B89" s="12" t="n">
        <v>0.2</v>
      </c>
      <c r="C89" s="5" t="s">
        <v>28</v>
      </c>
      <c r="D89" s="2" t="s">
        <v>125</v>
      </c>
    </row>
    <row r="90" customFormat="false" ht="15" hidden="false" customHeight="false" outlineLevel="0" collapsed="false">
      <c r="A90" s="17" t="s">
        <v>126</v>
      </c>
      <c r="B90" s="20" t="n">
        <f aca="false">B88*B89+B86*(1-B89)</f>
        <v>0.08877</v>
      </c>
      <c r="C90" s="5" t="s">
        <v>109</v>
      </c>
    </row>
    <row r="92" customFormat="false" ht="21.65" hidden="false" customHeight="false" outlineLevel="0" collapsed="false">
      <c r="A92" s="9" t="s">
        <v>127</v>
      </c>
      <c r="B92" s="12" t="n">
        <v>0.03</v>
      </c>
      <c r="C92" s="5" t="s">
        <v>28</v>
      </c>
      <c r="D92" s="2"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customHeight="false" zeroHeight="false" outlineLevelRow="0" outlineLevelCol="0"/>
  <cols>
    <col collapsed="false" customWidth="true" hidden="false" outlineLevel="0" max="1" min="1" style="0" width="40"/>
    <col collapsed="false" customWidth="true" hidden="false" outlineLevel="0" max="9" min="2" style="0" width="11"/>
  </cols>
  <sheetData>
    <row r="1" customFormat="false" ht="17.35" hidden="false" customHeight="false" outlineLevel="0" collapsed="false">
      <c r="A1" s="1" t="s">
        <v>129</v>
      </c>
    </row>
    <row r="2" customFormat="false" ht="31.9" hidden="false" customHeight="false" outlineLevel="0" collapsed="false">
      <c r="A2" s="2" t="s">
        <v>130</v>
      </c>
    </row>
    <row r="4" customFormat="false" ht="15" hidden="false" customHeight="false" outlineLevel="0" collapsed="false">
      <c r="A4" s="5" t="s">
        <v>131</v>
      </c>
      <c r="B4" s="21" t="s">
        <v>132</v>
      </c>
      <c r="C4" s="21" t="s">
        <v>133</v>
      </c>
      <c r="D4" s="21" t="s">
        <v>134</v>
      </c>
      <c r="E4" s="21" t="s">
        <v>135</v>
      </c>
      <c r="F4" s="21" t="s">
        <v>136</v>
      </c>
      <c r="G4" s="21" t="s">
        <v>137</v>
      </c>
      <c r="H4" s="21" t="s">
        <v>138</v>
      </c>
      <c r="I4" s="21" t="s">
        <v>139</v>
      </c>
    </row>
    <row r="5" customFormat="false" ht="15" hidden="false" customHeight="false" outlineLevel="0" collapsed="false">
      <c r="A5" s="17" t="s">
        <v>140</v>
      </c>
      <c r="B5" s="22" t="n">
        <f aca="false">C5/(1+Assumptions!$B$18)</f>
        <v>273.932576061945</v>
      </c>
      <c r="C5" s="22" t="n">
        <f aca="false">D5/(1+Assumptions!$B$19)</f>
        <v>286.259541984733</v>
      </c>
      <c r="D5" s="22" t="n">
        <f aca="false">Assumptions!$B$7</f>
        <v>300</v>
      </c>
      <c r="E5" s="22" t="n">
        <f aca="false">D5*(1+Assumptions!$B$20)</f>
        <v>315</v>
      </c>
      <c r="F5" s="22" t="n">
        <f aca="false">E5*(1+Assumptions!$B$21)</f>
        <v>331.38</v>
      </c>
      <c r="G5" s="22" t="n">
        <f aca="false">F5*(1+Assumptions!$B$22)</f>
        <v>347.949</v>
      </c>
      <c r="H5" s="22" t="n">
        <f aca="false">G5*(1+Assumptions!$B$23)</f>
        <v>364.650552</v>
      </c>
      <c r="I5" s="22" t="n">
        <f aca="false">H5*(1+Assumptions!$B$24)</f>
        <v>381.424477392</v>
      </c>
    </row>
    <row r="6" customFormat="false" ht="15" hidden="false" customHeight="false" outlineLevel="0" collapsed="false">
      <c r="A6" s="9" t="s">
        <v>141</v>
      </c>
      <c r="C6" s="13" t="n">
        <f aca="false">C5/B5-1</f>
        <v>0.0449999999999999</v>
      </c>
      <c r="D6" s="13" t="n">
        <f aca="false">D5/C5-1</f>
        <v>0.048</v>
      </c>
      <c r="E6" s="13" t="n">
        <f aca="false">E5/D5-1</f>
        <v>0.05</v>
      </c>
      <c r="F6" s="13" t="n">
        <f aca="false">F5/E5-1</f>
        <v>0.052</v>
      </c>
      <c r="G6" s="13" t="n">
        <f aca="false">G5/F5-1</f>
        <v>0.05</v>
      </c>
      <c r="H6" s="13" t="n">
        <f aca="false">H5/G5-1</f>
        <v>0.048</v>
      </c>
      <c r="I6" s="13" t="n">
        <f aca="false">I5/H5-1</f>
        <v>0.046</v>
      </c>
    </row>
    <row r="8" customFormat="false" ht="15" hidden="false" customHeight="false" outlineLevel="0" collapsed="false">
      <c r="A8" s="9" t="s">
        <v>142</v>
      </c>
      <c r="B8" s="23" t="n">
        <f aca="false">B5*Assumptions!$B$11</f>
        <v>109.573030424778</v>
      </c>
      <c r="C8" s="23" t="n">
        <f aca="false">C5*Assumptions!$B$11</f>
        <v>114.503816793893</v>
      </c>
      <c r="D8" s="23" t="n">
        <f aca="false">D5*Assumptions!$B$11</f>
        <v>120</v>
      </c>
      <c r="E8" s="23" t="n">
        <f aca="false">E5*Assumptions!$B$11</f>
        <v>126</v>
      </c>
      <c r="F8" s="23" t="n">
        <f aca="false">F5*Assumptions!$B$11</f>
        <v>132.552</v>
      </c>
      <c r="G8" s="23" t="n">
        <f aca="false">G5*Assumptions!$B$11</f>
        <v>139.1796</v>
      </c>
      <c r="H8" s="23" t="n">
        <f aca="false">H5*Assumptions!$B$11</f>
        <v>145.8602208</v>
      </c>
      <c r="I8" s="23" t="n">
        <f aca="false">I5*Assumptions!$B$11</f>
        <v>152.5697909568</v>
      </c>
    </row>
    <row r="9" customFormat="false" ht="15" hidden="false" customHeight="false" outlineLevel="0" collapsed="false">
      <c r="A9" s="9" t="s">
        <v>143</v>
      </c>
      <c r="B9" s="23" t="n">
        <f aca="false">B5*Assumptions!$B$12</f>
        <v>68.4831440154863</v>
      </c>
      <c r="C9" s="23" t="n">
        <f aca="false">C5*Assumptions!$B$12</f>
        <v>71.5648854961832</v>
      </c>
      <c r="D9" s="23" t="n">
        <f aca="false">D5*Assumptions!$B$12</f>
        <v>75</v>
      </c>
      <c r="E9" s="23" t="n">
        <f aca="false">E5*Assumptions!$B$12</f>
        <v>78.75</v>
      </c>
      <c r="F9" s="23" t="n">
        <f aca="false">F5*Assumptions!$B$12</f>
        <v>82.845</v>
      </c>
      <c r="G9" s="23" t="n">
        <f aca="false">G5*Assumptions!$B$12</f>
        <v>86.98725</v>
      </c>
      <c r="H9" s="23" t="n">
        <f aca="false">H5*Assumptions!$B$12</f>
        <v>91.162638</v>
      </c>
      <c r="I9" s="23" t="n">
        <f aca="false">I5*Assumptions!$B$12</f>
        <v>95.356119348</v>
      </c>
    </row>
    <row r="10" customFormat="false" ht="15" hidden="false" customHeight="false" outlineLevel="0" collapsed="false">
      <c r="A10" s="9" t="s">
        <v>144</v>
      </c>
      <c r="B10" s="23" t="n">
        <f aca="false">B5*Assumptions!$B$13</f>
        <v>54.7865152123891</v>
      </c>
      <c r="C10" s="23" t="n">
        <f aca="false">C5*Assumptions!$B$13</f>
        <v>57.2519083969466</v>
      </c>
      <c r="D10" s="23" t="n">
        <f aca="false">D5*Assumptions!$B$13</f>
        <v>60</v>
      </c>
      <c r="E10" s="23" t="n">
        <f aca="false">E5*Assumptions!$B$13</f>
        <v>63</v>
      </c>
      <c r="F10" s="23" t="n">
        <f aca="false">F5*Assumptions!$B$13</f>
        <v>66.276</v>
      </c>
      <c r="G10" s="23" t="n">
        <f aca="false">G5*Assumptions!$B$13</f>
        <v>69.5898</v>
      </c>
      <c r="H10" s="23" t="n">
        <f aca="false">H5*Assumptions!$B$13</f>
        <v>72.9301104</v>
      </c>
      <c r="I10" s="23" t="n">
        <f aca="false">I5*Assumptions!$B$13</f>
        <v>76.2848954784</v>
      </c>
    </row>
    <row r="11" customFormat="false" ht="15" hidden="false" customHeight="false" outlineLevel="0" collapsed="false">
      <c r="A11" s="9" t="s">
        <v>145</v>
      </c>
      <c r="B11" s="23" t="n">
        <f aca="false">B5*Assumptions!$B$14</f>
        <v>41.0898864092918</v>
      </c>
      <c r="C11" s="23" t="n">
        <f aca="false">C5*Assumptions!$B$14</f>
        <v>42.9389312977099</v>
      </c>
      <c r="D11" s="23" t="n">
        <f aca="false">D5*Assumptions!$B$14</f>
        <v>45</v>
      </c>
      <c r="E11" s="23" t="n">
        <f aca="false">E5*Assumptions!$B$14</f>
        <v>47.25</v>
      </c>
      <c r="F11" s="23" t="n">
        <f aca="false">F5*Assumptions!$B$14</f>
        <v>49.707</v>
      </c>
      <c r="G11" s="23" t="n">
        <f aca="false">G5*Assumptions!$B$14</f>
        <v>52.19235</v>
      </c>
      <c r="H11" s="23" t="n">
        <f aca="false">H5*Assumptions!$B$14</f>
        <v>54.6975828</v>
      </c>
      <c r="I11" s="23" t="n">
        <f aca="false">I5*Assumptions!$B$14</f>
        <v>57.2136716088</v>
      </c>
    </row>
    <row r="12" customFormat="false" ht="15" hidden="false" customHeight="false" outlineLevel="0" collapsed="false">
      <c r="A12" s="17" t="s">
        <v>146</v>
      </c>
      <c r="B12" s="24" t="n">
        <f aca="false">B8+B9+B10+B11-B5</f>
        <v>0</v>
      </c>
      <c r="C12" s="24" t="n">
        <f aca="false">C8+C9+C10+C11-C5</f>
        <v>0</v>
      </c>
      <c r="D12" s="24" t="n">
        <f aca="false">D8+D9+D10+D11-D5</f>
        <v>0</v>
      </c>
      <c r="E12" s="24" t="n">
        <f aca="false">E8+E9+E10+E11-E5</f>
        <v>0</v>
      </c>
      <c r="F12" s="24" t="n">
        <f aca="false">F8+F9+F10+F11-F5</f>
        <v>0</v>
      </c>
      <c r="G12" s="24" t="n">
        <f aca="false">G8+G9+G10+G11-G5</f>
        <v>0</v>
      </c>
      <c r="H12" s="24" t="n">
        <f aca="false">H8+H9+H10+H11-H5</f>
        <v>0</v>
      </c>
      <c r="I12" s="24" t="n">
        <f aca="false">I8+I9+I10+I11-I5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customHeight="false" zeroHeight="false" outlineLevelRow="0" outlineLevelCol="0"/>
  <cols>
    <col collapsed="false" customWidth="true" hidden="false" outlineLevel="0" max="1" min="1" style="0" width="40"/>
    <col collapsed="false" customWidth="true" hidden="false" outlineLevel="0" max="9" min="2" style="0" width="11"/>
  </cols>
  <sheetData>
    <row r="1" customFormat="false" ht="17.35" hidden="false" customHeight="false" outlineLevel="0" collapsed="false">
      <c r="A1" s="1" t="s">
        <v>147</v>
      </c>
    </row>
    <row r="2" customFormat="false" ht="15" hidden="false" customHeight="false" outlineLevel="0" collapsed="false">
      <c r="A2" s="5" t="s">
        <v>148</v>
      </c>
    </row>
    <row r="4" customFormat="false" ht="15" hidden="false" customHeight="false" outlineLevel="0" collapsed="false">
      <c r="A4" s="5" t="s">
        <v>131</v>
      </c>
      <c r="B4" s="21" t="s">
        <v>132</v>
      </c>
      <c r="C4" s="21" t="s">
        <v>133</v>
      </c>
      <c r="D4" s="21" t="s">
        <v>134</v>
      </c>
      <c r="E4" s="21" t="s">
        <v>135</v>
      </c>
      <c r="F4" s="21" t="s">
        <v>136</v>
      </c>
      <c r="G4" s="21" t="s">
        <v>137</v>
      </c>
      <c r="H4" s="21" t="s">
        <v>138</v>
      </c>
      <c r="I4" s="21" t="s">
        <v>139</v>
      </c>
    </row>
    <row r="5" customFormat="false" ht="15" hidden="false" customHeight="false" outlineLevel="0" collapsed="false">
      <c r="A5" s="9" t="s">
        <v>149</v>
      </c>
      <c r="B5" s="25" t="n">
        <f aca="false">Revenue_Build!B5</f>
        <v>273.932576061945</v>
      </c>
      <c r="C5" s="25" t="n">
        <f aca="false">Revenue_Build!C5</f>
        <v>286.259541984733</v>
      </c>
      <c r="D5" s="25" t="n">
        <f aca="false">Revenue_Build!D5</f>
        <v>300</v>
      </c>
      <c r="E5" s="25" t="n">
        <f aca="false">Revenue_Build!E5</f>
        <v>315</v>
      </c>
      <c r="F5" s="25" t="n">
        <f aca="false">Revenue_Build!F5</f>
        <v>331.38</v>
      </c>
      <c r="G5" s="25" t="n">
        <f aca="false">Revenue_Build!G5</f>
        <v>347.949</v>
      </c>
      <c r="H5" s="25" t="n">
        <f aca="false">Revenue_Build!H5</f>
        <v>364.650552</v>
      </c>
      <c r="I5" s="25" t="n">
        <f aca="false">Revenue_Build!I5</f>
        <v>381.424477392</v>
      </c>
    </row>
    <row r="6" customFormat="false" ht="15" hidden="false" customHeight="false" outlineLevel="0" collapsed="false">
      <c r="A6" s="9" t="s">
        <v>150</v>
      </c>
      <c r="B6" s="23" t="n">
        <f aca="false">B5*(1-Assumptions!$B$27)</f>
        <v>150.66291683407</v>
      </c>
      <c r="C6" s="23" t="n">
        <f aca="false">C5*(1-Assumptions!$B$27)</f>
        <v>157.442748091603</v>
      </c>
      <c r="D6" s="23" t="n">
        <f aca="false">D5*(1-Assumptions!$B$27)</f>
        <v>165</v>
      </c>
      <c r="E6" s="23" t="n">
        <f aca="false">E5*(1-Assumptions!$B$27)</f>
        <v>173.25</v>
      </c>
      <c r="F6" s="23" t="n">
        <f aca="false">F5*(1-Assumptions!$B$27)</f>
        <v>182.259</v>
      </c>
      <c r="G6" s="23" t="n">
        <f aca="false">G5*(1-Assumptions!$B$27)</f>
        <v>191.37195</v>
      </c>
      <c r="H6" s="23" t="n">
        <f aca="false">H5*(1-Assumptions!$B$27)</f>
        <v>200.5578036</v>
      </c>
      <c r="I6" s="23" t="n">
        <f aca="false">I5*(1-Assumptions!$B$27)</f>
        <v>209.7834625656</v>
      </c>
    </row>
    <row r="8" customFormat="false" ht="15" hidden="false" customHeight="false" outlineLevel="0" collapsed="false">
      <c r="A8" s="9" t="s">
        <v>151</v>
      </c>
      <c r="B8" s="23" t="n">
        <f aca="false">B5*Assumptions!$B$70/365</f>
        <v>33.7725093775001</v>
      </c>
      <c r="C8" s="23" t="n">
        <f aca="false">C5*Assumptions!$B$70/365</f>
        <v>35.2922722994876</v>
      </c>
      <c r="D8" s="23" t="n">
        <f aca="false">D5*Assumptions!$B$70/365</f>
        <v>36.986301369863</v>
      </c>
      <c r="E8" s="23" t="n">
        <f aca="false">E5*Assumptions!$B$70/365</f>
        <v>38.8356164383562</v>
      </c>
      <c r="F8" s="23" t="n">
        <f aca="false">F5*Assumptions!$B$70/365</f>
        <v>40.8550684931507</v>
      </c>
      <c r="G8" s="23" t="n">
        <f aca="false">G5*Assumptions!$B$70/365</f>
        <v>42.8978219178082</v>
      </c>
      <c r="H8" s="23" t="n">
        <f aca="false">H5*Assumptions!$B$70/365</f>
        <v>44.956917369863</v>
      </c>
      <c r="I8" s="23" t="n">
        <f aca="false">I5*Assumptions!$B$70/365</f>
        <v>47.0249355688767</v>
      </c>
    </row>
    <row r="9" customFormat="false" ht="15" hidden="false" customHeight="false" outlineLevel="0" collapsed="false">
      <c r="A9" s="9" t="s">
        <v>152</v>
      </c>
      <c r="B9" s="23" t="n">
        <f aca="false">B6*Assumptions!$B$71/365</f>
        <v>24.7665068768334</v>
      </c>
      <c r="C9" s="23" t="n">
        <f aca="false">C6*Assumptions!$B$71/365</f>
        <v>25.8809996862909</v>
      </c>
      <c r="D9" s="23" t="n">
        <f aca="false">D6*Assumptions!$B$71/365</f>
        <v>27.1232876712329</v>
      </c>
      <c r="E9" s="23" t="n">
        <f aca="false">E6*Assumptions!$B$71/365</f>
        <v>28.4794520547945</v>
      </c>
      <c r="F9" s="23" t="n">
        <f aca="false">F6*Assumptions!$B$71/365</f>
        <v>29.9603835616438</v>
      </c>
      <c r="G9" s="23" t="n">
        <f aca="false">G6*Assumptions!$B$71/365</f>
        <v>31.458402739726</v>
      </c>
      <c r="H9" s="23" t="n">
        <f aca="false">H6*Assumptions!$B$71/365</f>
        <v>32.9684060712329</v>
      </c>
      <c r="I9" s="23" t="n">
        <f aca="false">I6*Assumptions!$B$71/365</f>
        <v>34.4849527505096</v>
      </c>
    </row>
    <row r="10" customFormat="false" ht="15" hidden="false" customHeight="false" outlineLevel="0" collapsed="false">
      <c r="A10" s="9" t="s">
        <v>153</v>
      </c>
      <c r="B10" s="23" t="n">
        <f aca="false">-B6*Assumptions!$B$72/365</f>
        <v>-18.5748801576251</v>
      </c>
      <c r="C10" s="23" t="n">
        <f aca="false">-C6*Assumptions!$B$72/365</f>
        <v>-19.4107497647182</v>
      </c>
      <c r="D10" s="23" t="n">
        <f aca="false">-D6*Assumptions!$B$72/365</f>
        <v>-20.3424657534247</v>
      </c>
      <c r="E10" s="23" t="n">
        <f aca="false">-E6*Assumptions!$B$72/365</f>
        <v>-21.3595890410959</v>
      </c>
      <c r="F10" s="23" t="n">
        <f aca="false">-F6*Assumptions!$B$72/365</f>
        <v>-22.4702876712329</v>
      </c>
      <c r="G10" s="23" t="n">
        <f aca="false">-G6*Assumptions!$B$72/365</f>
        <v>-23.5938020547945</v>
      </c>
      <c r="H10" s="23" t="n">
        <f aca="false">-H6*Assumptions!$B$72/365</f>
        <v>-24.7263045534247</v>
      </c>
      <c r="I10" s="23" t="n">
        <f aca="false">-I6*Assumptions!$B$72/365</f>
        <v>-25.8637145628822</v>
      </c>
    </row>
    <row r="12" customFormat="false" ht="15" hidden="false" customHeight="false" outlineLevel="0" collapsed="false">
      <c r="A12" s="17" t="s">
        <v>154</v>
      </c>
      <c r="B12" s="22" t="n">
        <f aca="false">B8+B9+B10</f>
        <v>39.9641360967085</v>
      </c>
      <c r="C12" s="22" t="n">
        <f aca="false">C8+C9+C10</f>
        <v>41.7625222210604</v>
      </c>
      <c r="D12" s="22" t="n">
        <f aca="false">D8+D9+D10</f>
        <v>43.7671232876712</v>
      </c>
      <c r="E12" s="22" t="n">
        <f aca="false">E8+E9+E10</f>
        <v>45.9554794520548</v>
      </c>
      <c r="F12" s="22" t="n">
        <f aca="false">F8+F9+F10</f>
        <v>48.3451643835616</v>
      </c>
      <c r="G12" s="22" t="n">
        <f aca="false">G8+G9+G10</f>
        <v>50.7624226027397</v>
      </c>
      <c r="H12" s="22" t="n">
        <f aca="false">H8+H9+H10</f>
        <v>53.1990188876712</v>
      </c>
      <c r="I12" s="22" t="n">
        <f aca="false">I8+I9+I10</f>
        <v>55.6461737565041</v>
      </c>
    </row>
    <row r="13" customFormat="false" ht="15" hidden="false" customHeight="false" outlineLevel="0" collapsed="false">
      <c r="A13" s="9" t="s">
        <v>155</v>
      </c>
      <c r="B13" s="13" t="n">
        <f aca="false">B12/B5</f>
        <v>0.145890410958904</v>
      </c>
      <c r="C13" s="13" t="n">
        <f aca="false">C12/C5</f>
        <v>0.145890410958904</v>
      </c>
      <c r="D13" s="13" t="n">
        <f aca="false">D12/D5</f>
        <v>0.145890410958904</v>
      </c>
      <c r="E13" s="13" t="n">
        <f aca="false">E12/E5</f>
        <v>0.145890410958904</v>
      </c>
      <c r="F13" s="13" t="n">
        <f aca="false">F12/F5</f>
        <v>0.145890410958904</v>
      </c>
      <c r="G13" s="13" t="n">
        <f aca="false">G12/G5</f>
        <v>0.145890410958904</v>
      </c>
      <c r="H13" s="13" t="n">
        <f aca="false">H12/H5</f>
        <v>0.145890410958904</v>
      </c>
      <c r="I13" s="13" t="n">
        <f aca="false">I12/I5</f>
        <v>0.145890410958904</v>
      </c>
    </row>
    <row r="14" customFormat="false" ht="15" hidden="false" customHeight="false" outlineLevel="0" collapsed="false">
      <c r="A14" s="17" t="s">
        <v>156</v>
      </c>
      <c r="B14" s="5" t="s">
        <v>157</v>
      </c>
      <c r="C14" s="22" t="n">
        <f aca="false">C12-B12</f>
        <v>1.79838612435189</v>
      </c>
      <c r="D14" s="22" t="n">
        <f aca="false">D12-C12</f>
        <v>2.00460106661087</v>
      </c>
      <c r="E14" s="22" t="n">
        <f aca="false">E12-D12</f>
        <v>2.18835616438356</v>
      </c>
      <c r="F14" s="22" t="n">
        <f aca="false">F12-E12</f>
        <v>2.38968493150685</v>
      </c>
      <c r="G14" s="22" t="n">
        <f aca="false">G12-F12</f>
        <v>2.41725821917808</v>
      </c>
      <c r="H14" s="22" t="n">
        <f aca="false">H12-G12</f>
        <v>2.43659628493152</v>
      </c>
      <c r="I14" s="22" t="n">
        <f aca="false">I12-H12</f>
        <v>2.44715486883288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customHeight="false" zeroHeight="false" outlineLevelRow="0" outlineLevelCol="0"/>
  <cols>
    <col collapsed="false" customWidth="true" hidden="false" outlineLevel="0" max="1" min="1" style="0" width="40"/>
    <col collapsed="false" customWidth="true" hidden="false" outlineLevel="0" max="9" min="2" style="0" width="11"/>
  </cols>
  <sheetData>
    <row r="1" customFormat="false" ht="17.35" hidden="false" customHeight="false" outlineLevel="0" collapsed="false">
      <c r="A1" s="1" t="s">
        <v>158</v>
      </c>
    </row>
    <row r="2" customFormat="false" ht="15" hidden="false" customHeight="false" outlineLevel="0" collapsed="false">
      <c r="A2" s="5" t="s">
        <v>159</v>
      </c>
    </row>
    <row r="4" customFormat="false" ht="15" hidden="false" customHeight="false" outlineLevel="0" collapsed="false">
      <c r="A4" s="5" t="s">
        <v>131</v>
      </c>
      <c r="B4" s="21" t="s">
        <v>132</v>
      </c>
      <c r="C4" s="21" t="s">
        <v>133</v>
      </c>
      <c r="D4" s="21" t="s">
        <v>134</v>
      </c>
      <c r="E4" s="21" t="s">
        <v>135</v>
      </c>
      <c r="F4" s="21" t="s">
        <v>136</v>
      </c>
      <c r="G4" s="21" t="s">
        <v>137</v>
      </c>
      <c r="H4" s="21" t="s">
        <v>138</v>
      </c>
      <c r="I4" s="21" t="s">
        <v>139</v>
      </c>
    </row>
    <row r="5" customFormat="false" ht="15" hidden="false" customHeight="false" outlineLevel="0" collapsed="false">
      <c r="A5" s="9" t="s">
        <v>149</v>
      </c>
      <c r="B5" s="25" t="n">
        <f aca="false">Revenue_Build!B5</f>
        <v>273.932576061945</v>
      </c>
      <c r="C5" s="25" t="n">
        <f aca="false">Revenue_Build!C5</f>
        <v>286.259541984733</v>
      </c>
      <c r="D5" s="25" t="n">
        <f aca="false">Revenue_Build!D5</f>
        <v>300</v>
      </c>
      <c r="E5" s="25" t="n">
        <f aca="false">Revenue_Build!E5</f>
        <v>315</v>
      </c>
      <c r="F5" s="25" t="n">
        <f aca="false">Revenue_Build!F5</f>
        <v>331.38</v>
      </c>
      <c r="G5" s="25" t="n">
        <f aca="false">Revenue_Build!G5</f>
        <v>347.949</v>
      </c>
      <c r="H5" s="25" t="n">
        <f aca="false">Revenue_Build!H5</f>
        <v>364.650552</v>
      </c>
      <c r="I5" s="25" t="n">
        <f aca="false">Revenue_Build!I5</f>
        <v>381.424477392</v>
      </c>
    </row>
    <row r="7" customFormat="false" ht="15" hidden="false" customHeight="false" outlineLevel="0" collapsed="false">
      <c r="A7" s="9" t="s">
        <v>160</v>
      </c>
      <c r="B7" s="23" t="n">
        <f aca="false">B5*Assumptions!$B$60</f>
        <v>8.21797728185836</v>
      </c>
      <c r="C7" s="23" t="n">
        <f aca="false">C5*Assumptions!$B$61</f>
        <v>8.58778625954199</v>
      </c>
      <c r="D7" s="23" t="n">
        <f aca="false">D5*Assumptions!$B$62</f>
        <v>9</v>
      </c>
      <c r="E7" s="23" t="n">
        <f aca="false">E5*Assumptions!$B$63</f>
        <v>11.025</v>
      </c>
      <c r="F7" s="23" t="n">
        <f aca="false">F5*Assumptions!$B$64</f>
        <v>11.5983</v>
      </c>
      <c r="G7" s="23" t="n">
        <f aca="false">G5*Assumptions!$B$65</f>
        <v>10.43847</v>
      </c>
      <c r="H7" s="23" t="n">
        <f aca="false">H5*Assumptions!$B$66</f>
        <v>10.93951656</v>
      </c>
      <c r="I7" s="23" t="n">
        <f aca="false">I5*Assumptions!$B$67</f>
        <v>11.44273432176</v>
      </c>
    </row>
    <row r="8" customFormat="false" ht="15" hidden="false" customHeight="false" outlineLevel="0" collapsed="false">
      <c r="A8" s="9" t="s">
        <v>161</v>
      </c>
      <c r="B8" s="13" t="n">
        <f aca="false">B7/B5</f>
        <v>0.03</v>
      </c>
      <c r="C8" s="13" t="n">
        <f aca="false">C7/C5</f>
        <v>0.03</v>
      </c>
      <c r="D8" s="13" t="n">
        <f aca="false">D7/D5</f>
        <v>0.03</v>
      </c>
      <c r="E8" s="13" t="n">
        <f aca="false">E7/E5</f>
        <v>0.035</v>
      </c>
      <c r="F8" s="13" t="n">
        <f aca="false">F7/F5</f>
        <v>0.035</v>
      </c>
      <c r="G8" s="13" t="n">
        <f aca="false">G7/G5</f>
        <v>0.03</v>
      </c>
      <c r="H8" s="13" t="n">
        <f aca="false">H7/H5</f>
        <v>0.03</v>
      </c>
      <c r="I8" s="13" t="n">
        <f aca="false">I7/I5</f>
        <v>0.03</v>
      </c>
    </row>
    <row r="10" customFormat="false" ht="15" hidden="false" customHeight="false" outlineLevel="0" collapsed="false">
      <c r="A10" s="9" t="s">
        <v>162</v>
      </c>
      <c r="B10" s="23" t="n">
        <f aca="false">B5*Assumptions!$B$59</f>
        <v>6.84831440154863</v>
      </c>
      <c r="C10" s="23" t="n">
        <f aca="false">C5*Assumptions!$B$59</f>
        <v>7.15648854961832</v>
      </c>
      <c r="D10" s="23" t="n">
        <f aca="false">D5*Assumptions!$B$59</f>
        <v>7.5</v>
      </c>
      <c r="E10" s="23" t="n">
        <f aca="false">E5*Assumptions!$B$59</f>
        <v>7.875</v>
      </c>
      <c r="F10" s="23" t="n">
        <f aca="false">F5*Assumptions!$B$59</f>
        <v>8.2845</v>
      </c>
      <c r="G10" s="23" t="n">
        <f aca="false">G5*Assumptions!$B$59</f>
        <v>8.698725</v>
      </c>
      <c r="H10" s="23" t="n">
        <f aca="false">H5*Assumptions!$B$59</f>
        <v>9.1162638</v>
      </c>
      <c r="I10" s="23" t="n">
        <f aca="false">I5*Assumptions!$B$59</f>
        <v>9.5356119348</v>
      </c>
    </row>
    <row r="11" customFormat="false" ht="15" hidden="false" customHeight="false" outlineLevel="0" collapsed="false">
      <c r="A11" s="9" t="s">
        <v>163</v>
      </c>
      <c r="B11" s="13" t="n">
        <f aca="false">B10/B5</f>
        <v>0.025</v>
      </c>
      <c r="C11" s="13" t="n">
        <f aca="false">C10/C5</f>
        <v>0.025</v>
      </c>
      <c r="D11" s="13" t="n">
        <f aca="false">D10/D5</f>
        <v>0.025</v>
      </c>
      <c r="E11" s="13" t="n">
        <f aca="false">E10/E5</f>
        <v>0.025</v>
      </c>
      <c r="F11" s="13" t="n">
        <f aca="false">F10/F5</f>
        <v>0.025</v>
      </c>
      <c r="G11" s="13" t="n">
        <f aca="false">G10/G5</f>
        <v>0.025</v>
      </c>
      <c r="H11" s="13" t="n">
        <f aca="false">H10/H5</f>
        <v>0.025</v>
      </c>
      <c r="I11" s="13" t="n">
        <f aca="false">I10/I5</f>
        <v>0.025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customHeight="false" zeroHeight="false" outlineLevelRow="0" outlineLevelCol="0"/>
  <cols>
    <col collapsed="false" customWidth="true" hidden="false" outlineLevel="0" max="1" min="1" style="0" width="40"/>
    <col collapsed="false" customWidth="true" hidden="false" outlineLevel="0" max="9" min="2" style="0" width="11"/>
  </cols>
  <sheetData>
    <row r="1" customFormat="false" ht="17.35" hidden="false" customHeight="false" outlineLevel="0" collapsed="false">
      <c r="A1" s="1" t="s">
        <v>164</v>
      </c>
    </row>
    <row r="2" customFormat="false" ht="15" hidden="false" customHeight="false" outlineLevel="0" collapsed="false">
      <c r="A2" s="5" t="s">
        <v>165</v>
      </c>
    </row>
    <row r="4" customFormat="false" ht="15" hidden="false" customHeight="false" outlineLevel="0" collapsed="false">
      <c r="A4" s="5" t="s">
        <v>131</v>
      </c>
      <c r="B4" s="21" t="s">
        <v>132</v>
      </c>
      <c r="C4" s="21" t="s">
        <v>133</v>
      </c>
      <c r="D4" s="21" t="s">
        <v>134</v>
      </c>
      <c r="E4" s="21" t="s">
        <v>135</v>
      </c>
      <c r="F4" s="21" t="s">
        <v>136</v>
      </c>
      <c r="G4" s="21" t="s">
        <v>137</v>
      </c>
      <c r="H4" s="21" t="s">
        <v>138</v>
      </c>
      <c r="I4" s="21" t="s">
        <v>139</v>
      </c>
    </row>
    <row r="5" customFormat="false" ht="15" hidden="false" customHeight="false" outlineLevel="0" collapsed="false">
      <c r="A5" s="17" t="s">
        <v>166</v>
      </c>
      <c r="B5" s="26" t="n">
        <f aca="false">Revenue_Build!B5</f>
        <v>273.932576061945</v>
      </c>
      <c r="C5" s="26" t="n">
        <f aca="false">Revenue_Build!C5</f>
        <v>286.259541984733</v>
      </c>
      <c r="D5" s="26" t="n">
        <f aca="false">Revenue_Build!D5</f>
        <v>300</v>
      </c>
      <c r="E5" s="26" t="n">
        <f aca="false">Revenue_Build!E5</f>
        <v>315</v>
      </c>
      <c r="F5" s="26" t="n">
        <f aca="false">Revenue_Build!F5</f>
        <v>331.38</v>
      </c>
      <c r="G5" s="26" t="n">
        <f aca="false">Revenue_Build!G5</f>
        <v>347.949</v>
      </c>
      <c r="H5" s="26" t="n">
        <f aca="false">Revenue_Build!H5</f>
        <v>364.650552</v>
      </c>
      <c r="I5" s="26" t="n">
        <f aca="false">Revenue_Build!I5</f>
        <v>381.424477392</v>
      </c>
    </row>
    <row r="6" customFormat="false" ht="15" hidden="false" customHeight="false" outlineLevel="0" collapsed="false">
      <c r="A6" s="9" t="s">
        <v>141</v>
      </c>
      <c r="C6" s="13" t="n">
        <f aca="false">C5/B5-1</f>
        <v>0.0449999999999999</v>
      </c>
      <c r="D6" s="13" t="n">
        <f aca="false">D5/C5-1</f>
        <v>0.048</v>
      </c>
      <c r="E6" s="13" t="n">
        <f aca="false">E5/D5-1</f>
        <v>0.05</v>
      </c>
      <c r="F6" s="13" t="n">
        <f aca="false">F5/E5-1</f>
        <v>0.052</v>
      </c>
      <c r="G6" s="13" t="n">
        <f aca="false">G5/F5-1</f>
        <v>0.05</v>
      </c>
      <c r="H6" s="13" t="n">
        <f aca="false">H5/G5-1</f>
        <v>0.048</v>
      </c>
      <c r="I6" s="13" t="n">
        <f aca="false">I5/H5-1</f>
        <v>0.046</v>
      </c>
    </row>
    <row r="8" customFormat="false" ht="15" hidden="false" customHeight="false" outlineLevel="0" collapsed="false">
      <c r="A8" s="9" t="s">
        <v>167</v>
      </c>
      <c r="B8" s="23" t="n">
        <f aca="false">B5*Assumptions!$B$27</f>
        <v>123.269659227875</v>
      </c>
      <c r="C8" s="23" t="n">
        <f aca="false">C5*Assumptions!$B$27</f>
        <v>128.81679389313</v>
      </c>
      <c r="D8" s="23" t="n">
        <f aca="false">D5*Assumptions!$B$27</f>
        <v>135</v>
      </c>
      <c r="E8" s="23" t="n">
        <f aca="false">E5*Assumptions!$B$27</f>
        <v>141.75</v>
      </c>
      <c r="F8" s="23" t="n">
        <f aca="false">F5*Assumptions!$B$27</f>
        <v>149.121</v>
      </c>
      <c r="G8" s="23" t="n">
        <f aca="false">G5*Assumptions!$B$27</f>
        <v>156.57705</v>
      </c>
      <c r="H8" s="23" t="n">
        <f aca="false">H5*Assumptions!$B$27</f>
        <v>164.0927484</v>
      </c>
      <c r="I8" s="23" t="n">
        <f aca="false">I5*Assumptions!$B$27</f>
        <v>171.6410148264</v>
      </c>
    </row>
    <row r="9" customFormat="false" ht="15" hidden="false" customHeight="false" outlineLevel="0" collapsed="false">
      <c r="A9" s="9" t="s">
        <v>168</v>
      </c>
      <c r="B9" s="27" t="n">
        <f aca="false">Assumptions!$B$27</f>
        <v>0.45</v>
      </c>
      <c r="C9" s="27" t="n">
        <f aca="false">Assumptions!$B$27</f>
        <v>0.45</v>
      </c>
      <c r="D9" s="27" t="n">
        <f aca="false">Assumptions!$B$27</f>
        <v>0.45</v>
      </c>
      <c r="E9" s="27" t="n">
        <f aca="false">Assumptions!$B$27</f>
        <v>0.45</v>
      </c>
      <c r="F9" s="27" t="n">
        <f aca="false">Assumptions!$B$27</f>
        <v>0.45</v>
      </c>
      <c r="G9" s="27" t="n">
        <f aca="false">Assumptions!$B$27</f>
        <v>0.45</v>
      </c>
      <c r="H9" s="27" t="n">
        <f aca="false">Assumptions!$B$27</f>
        <v>0.45</v>
      </c>
      <c r="I9" s="27" t="n">
        <f aca="false">Assumptions!$B$27</f>
        <v>0.45</v>
      </c>
    </row>
    <row r="11" customFormat="false" ht="15" hidden="false" customHeight="false" outlineLevel="0" collapsed="false">
      <c r="A11" s="17" t="s">
        <v>169</v>
      </c>
      <c r="B11" s="22" t="n">
        <f aca="false">B5*Assumptions!$B$28</f>
        <v>35.6112348880529</v>
      </c>
      <c r="C11" s="22" t="n">
        <f aca="false">C5*Assumptions!$B$29</f>
        <v>40.6488549618321</v>
      </c>
      <c r="D11" s="22" t="n">
        <f aca="false">D5*Assumptions!$B$30</f>
        <v>47.4</v>
      </c>
      <c r="E11" s="22" t="n">
        <f aca="false">E5*Assumptions!$B$31</f>
        <v>51.975</v>
      </c>
      <c r="F11" s="22" t="n">
        <f aca="false">F5*Assumptions!$B$32</f>
        <v>56.3346</v>
      </c>
      <c r="G11" s="22" t="n">
        <f aca="false">G5*Assumptions!$B$33</f>
        <v>60.891075</v>
      </c>
      <c r="H11" s="22" t="n">
        <f aca="false">H5*Assumptions!$B$34</f>
        <v>64.907798256</v>
      </c>
      <c r="I11" s="22" t="n">
        <f aca="false">I5*Assumptions!$B$35</f>
        <v>68.65640593056</v>
      </c>
    </row>
    <row r="12" customFormat="false" ht="15" hidden="false" customHeight="false" outlineLevel="0" collapsed="false">
      <c r="A12" s="9" t="s">
        <v>170</v>
      </c>
      <c r="B12" s="27" t="n">
        <f aca="false">Assumptions!$B$28</f>
        <v>0.13</v>
      </c>
      <c r="C12" s="27" t="n">
        <f aca="false">Assumptions!$B$29</f>
        <v>0.142</v>
      </c>
      <c r="D12" s="27" t="n">
        <f aca="false">Assumptions!$B$30</f>
        <v>0.158</v>
      </c>
      <c r="E12" s="27" t="n">
        <f aca="false">Assumptions!$B$31</f>
        <v>0.165</v>
      </c>
      <c r="F12" s="27" t="n">
        <f aca="false">Assumptions!$B$32</f>
        <v>0.17</v>
      </c>
      <c r="G12" s="27" t="n">
        <f aca="false">Assumptions!$B$33</f>
        <v>0.175</v>
      </c>
      <c r="H12" s="27" t="n">
        <f aca="false">Assumptions!$B$34</f>
        <v>0.178</v>
      </c>
      <c r="I12" s="27" t="n">
        <f aca="false">Assumptions!$B$35</f>
        <v>0.18</v>
      </c>
    </row>
    <row r="14" customFormat="false" ht="15" hidden="false" customHeight="false" outlineLevel="0" collapsed="false">
      <c r="A14" s="17" t="s">
        <v>171</v>
      </c>
    </row>
    <row r="15" customFormat="false" ht="15" hidden="false" customHeight="false" outlineLevel="0" collapsed="false">
      <c r="A15" s="9" t="s">
        <v>172</v>
      </c>
      <c r="B15" s="23" t="n">
        <f aca="false">-B5*Assumptions!$B$38</f>
        <v>-0</v>
      </c>
      <c r="C15" s="23" t="n">
        <f aca="false">-C5*Assumptions!$B$39</f>
        <v>-0</v>
      </c>
      <c r="D15" s="23" t="n">
        <f aca="false">-D5*Assumptions!$B$40</f>
        <v>-0</v>
      </c>
      <c r="E15" s="23" t="n">
        <f aca="false">-E5*Assumptions!$B$41</f>
        <v>-9.45</v>
      </c>
      <c r="F15" s="23" t="n">
        <f aca="false">-F5*Assumptions!$B$42</f>
        <v>-4.9707</v>
      </c>
      <c r="G15" s="23" t="n">
        <f aca="false">-G5*Assumptions!$B$43</f>
        <v>-0</v>
      </c>
      <c r="H15" s="23" t="n">
        <f aca="false">-H5*Assumptions!$B$44</f>
        <v>-0</v>
      </c>
      <c r="I15" s="23" t="n">
        <f aca="false">-I5*Assumptions!$B$45</f>
        <v>-0</v>
      </c>
    </row>
    <row r="16" customFormat="false" ht="15" hidden="false" customHeight="false" outlineLevel="0" collapsed="false">
      <c r="A16" s="9" t="s">
        <v>173</v>
      </c>
      <c r="B16" s="23" t="n">
        <f aca="false">-B5*Assumptions!$B$47</f>
        <v>-0</v>
      </c>
      <c r="C16" s="23" t="n">
        <f aca="false">-C5*Assumptions!$B$48</f>
        <v>-0</v>
      </c>
      <c r="D16" s="23" t="n">
        <f aca="false">-D5*Assumptions!$B$49</f>
        <v>-0</v>
      </c>
      <c r="E16" s="23" t="n">
        <f aca="false">-E5*Assumptions!$B$50</f>
        <v>-3.15</v>
      </c>
      <c r="F16" s="23" t="n">
        <f aca="false">-F5*Assumptions!$B$51</f>
        <v>-3.3138</v>
      </c>
      <c r="G16" s="23" t="n">
        <f aca="false">-G5*Assumptions!$B$52</f>
        <v>-0</v>
      </c>
      <c r="H16" s="23" t="n">
        <f aca="false">-H5*Assumptions!$B$53</f>
        <v>-0</v>
      </c>
      <c r="I16" s="23" t="n">
        <f aca="false">-I5*Assumptions!$B$54</f>
        <v>-0</v>
      </c>
    </row>
    <row r="17" customFormat="false" ht="15" hidden="false" customHeight="false" outlineLevel="0" collapsed="false">
      <c r="A17" s="9" t="s">
        <v>174</v>
      </c>
      <c r="B17" s="23" t="n">
        <f aca="false">-(B8-B11+B15+B16)</f>
        <v>-87.6584243398225</v>
      </c>
      <c r="C17" s="23" t="n">
        <f aca="false">-(C8-C11+C15+C16)</f>
        <v>-88.1679389312977</v>
      </c>
      <c r="D17" s="23" t="n">
        <f aca="false">-(D8-D11+D15+D16)</f>
        <v>-87.6</v>
      </c>
      <c r="E17" s="23" t="n">
        <f aca="false">-(E8-E11+E15+E16)</f>
        <v>-77.175</v>
      </c>
      <c r="F17" s="23" t="n">
        <f aca="false">-(F8-F11+F15+F16)</f>
        <v>-84.5019</v>
      </c>
      <c r="G17" s="23" t="n">
        <f aca="false">-(G8-G11+G15+G16)</f>
        <v>-95.685975</v>
      </c>
      <c r="H17" s="23" t="n">
        <f aca="false">-(H8-H11+H15+H16)</f>
        <v>-99.184950144</v>
      </c>
      <c r="I17" s="23" t="n">
        <f aca="false">-(I8-I11+I15+I16)</f>
        <v>-102.98460889584</v>
      </c>
    </row>
    <row r="18" customFormat="false" ht="15" hidden="false" customHeight="false" outlineLevel="0" collapsed="false">
      <c r="A18" s="9" t="s">
        <v>175</v>
      </c>
      <c r="B18" s="28" t="n">
        <f aca="false">B8+B15+B16+B17-B11</f>
        <v>0</v>
      </c>
      <c r="C18" s="28" t="n">
        <f aca="false">C8+C15+C16+C17-C11</f>
        <v>0</v>
      </c>
      <c r="D18" s="28" t="n">
        <f aca="false">D8+D15+D16+D17-D11</f>
        <v>0</v>
      </c>
      <c r="E18" s="28" t="n">
        <f aca="false">E8+E15+E16+E17-E11</f>
        <v>0</v>
      </c>
      <c r="F18" s="28" t="n">
        <f aca="false">F8+F15+F16+F17-F11</f>
        <v>0</v>
      </c>
      <c r="G18" s="28" t="n">
        <f aca="false">G8+G15+G16+G17-G11</f>
        <v>0</v>
      </c>
      <c r="H18" s="28" t="n">
        <f aca="false">H8+H15+H16+H17-H11</f>
        <v>0</v>
      </c>
      <c r="I18" s="28" t="n">
        <f aca="false">I8+I15+I16+I17-I11</f>
        <v>0</v>
      </c>
    </row>
    <row r="20" customFormat="false" ht="15" hidden="false" customHeight="false" outlineLevel="0" collapsed="false">
      <c r="A20" s="9" t="s">
        <v>162</v>
      </c>
      <c r="B20" s="25" t="n">
        <f aca="false">-Capex_DA!B10</f>
        <v>-6.84831440154863</v>
      </c>
      <c r="C20" s="25" t="n">
        <f aca="false">-Capex_DA!C10</f>
        <v>-7.15648854961832</v>
      </c>
      <c r="D20" s="25" t="n">
        <f aca="false">-Capex_DA!D10</f>
        <v>-7.5</v>
      </c>
      <c r="E20" s="25" t="n">
        <f aca="false">-Capex_DA!E10</f>
        <v>-7.875</v>
      </c>
      <c r="F20" s="25" t="n">
        <f aca="false">-Capex_DA!F10</f>
        <v>-8.2845</v>
      </c>
      <c r="G20" s="25" t="n">
        <f aca="false">-Capex_DA!G10</f>
        <v>-8.698725</v>
      </c>
      <c r="H20" s="25" t="n">
        <f aca="false">-Capex_DA!H10</f>
        <v>-9.1162638</v>
      </c>
      <c r="I20" s="25" t="n">
        <f aca="false">-Capex_DA!I10</f>
        <v>-9.5356119348</v>
      </c>
    </row>
    <row r="21" customFormat="false" ht="15" hidden="false" customHeight="false" outlineLevel="0" collapsed="false">
      <c r="A21" s="17" t="s">
        <v>176</v>
      </c>
      <c r="B21" s="22" t="n">
        <f aca="false">B11+B20</f>
        <v>28.7629204865043</v>
      </c>
      <c r="C21" s="22" t="n">
        <f aca="false">C11+C20</f>
        <v>33.4923664122137</v>
      </c>
      <c r="D21" s="22" t="n">
        <f aca="false">D11+D20</f>
        <v>39.9</v>
      </c>
      <c r="E21" s="22" t="n">
        <f aca="false">E11+E20</f>
        <v>44.1</v>
      </c>
      <c r="F21" s="22" t="n">
        <f aca="false">F11+F20</f>
        <v>48.0501</v>
      </c>
      <c r="G21" s="22" t="n">
        <f aca="false">G11+G20</f>
        <v>52.19235</v>
      </c>
      <c r="H21" s="22" t="n">
        <f aca="false">H11+H20</f>
        <v>55.791534456</v>
      </c>
      <c r="I21" s="22" t="n">
        <f aca="false">I11+I20</f>
        <v>59.12079399576</v>
      </c>
    </row>
    <row r="23" customFormat="false" ht="15" hidden="false" customHeight="false" outlineLevel="0" collapsed="false">
      <c r="A23" s="9" t="s">
        <v>177</v>
      </c>
      <c r="B23" s="23" t="n">
        <f aca="false">-MAX(B21,0)*Assumptions!$B$79</f>
        <v>-6.15526498411191</v>
      </c>
      <c r="C23" s="23" t="n">
        <f aca="false">-MAX(C21,0)*Assumptions!$B$79</f>
        <v>-7.16736641221374</v>
      </c>
      <c r="D23" s="23" t="n">
        <f aca="false">-MAX(D21,0)*Assumptions!$B$79</f>
        <v>-8.5386</v>
      </c>
      <c r="E23" s="23" t="n">
        <f aca="false">-MAX(E21,0)*Assumptions!$B$79</f>
        <v>-9.4374</v>
      </c>
      <c r="F23" s="23" t="n">
        <f aca="false">-MAX(F21,0)*Assumptions!$B$79</f>
        <v>-10.2827214</v>
      </c>
      <c r="G23" s="23" t="n">
        <f aca="false">-MAX(G21,0)*Assumptions!$B$79</f>
        <v>-11.1691629</v>
      </c>
      <c r="H23" s="23" t="n">
        <f aca="false">-MAX(H21,0)*Assumptions!$B$79</f>
        <v>-11.939388373584</v>
      </c>
      <c r="I23" s="23" t="n">
        <f aca="false">-MAX(I21,0)*Assumptions!$B$79</f>
        <v>-12.6518499150926</v>
      </c>
    </row>
    <row r="24" customFormat="false" ht="15" hidden="false" customHeight="false" outlineLevel="0" collapsed="false">
      <c r="A24" s="9" t="s">
        <v>160</v>
      </c>
      <c r="B24" s="25" t="n">
        <f aca="false">-Capex_DA!B7</f>
        <v>-8.21797728185836</v>
      </c>
      <c r="C24" s="25" t="n">
        <f aca="false">-Capex_DA!C7</f>
        <v>-8.58778625954199</v>
      </c>
      <c r="D24" s="25" t="n">
        <f aca="false">-Capex_DA!D7</f>
        <v>-9</v>
      </c>
      <c r="E24" s="25" t="n">
        <f aca="false">-Capex_DA!E7</f>
        <v>-11.025</v>
      </c>
      <c r="F24" s="25" t="n">
        <f aca="false">-Capex_DA!F7</f>
        <v>-11.5983</v>
      </c>
      <c r="G24" s="25" t="n">
        <f aca="false">-Capex_DA!G7</f>
        <v>-10.43847</v>
      </c>
      <c r="H24" s="25" t="n">
        <f aca="false">-Capex_DA!H7</f>
        <v>-10.93951656</v>
      </c>
      <c r="I24" s="25" t="n">
        <f aca="false">-Capex_DA!I7</f>
        <v>-11.44273432176</v>
      </c>
    </row>
    <row r="25" customFormat="false" ht="15" hidden="false" customHeight="false" outlineLevel="0" collapsed="false">
      <c r="A25" s="9" t="s">
        <v>178</v>
      </c>
      <c r="B25" s="5" t="s">
        <v>179</v>
      </c>
      <c r="C25" s="25" t="n">
        <f aca="false">-Working_Capital!C14</f>
        <v>-1.79838612435189</v>
      </c>
      <c r="D25" s="25" t="n">
        <f aca="false">-Working_Capital!D14</f>
        <v>-2.00460106661087</v>
      </c>
      <c r="E25" s="25" t="n">
        <f aca="false">-Working_Capital!E14</f>
        <v>-2.18835616438356</v>
      </c>
      <c r="F25" s="25" t="n">
        <f aca="false">-Working_Capital!F14</f>
        <v>-2.38968493150685</v>
      </c>
      <c r="G25" s="25" t="n">
        <f aca="false">-Working_Capital!G14</f>
        <v>-2.41725821917808</v>
      </c>
      <c r="H25" s="25" t="n">
        <f aca="false">-Working_Capital!H14</f>
        <v>-2.43659628493152</v>
      </c>
      <c r="I25" s="25" t="n">
        <f aca="false">-Working_Capital!I14</f>
        <v>-2.44715486883288</v>
      </c>
    </row>
    <row r="26" customFormat="false" ht="15" hidden="false" customHeight="false" outlineLevel="0" collapsed="false">
      <c r="A26" s="9" t="s">
        <v>180</v>
      </c>
      <c r="B26" s="23" t="n">
        <v>0</v>
      </c>
      <c r="C26" s="23" t="n">
        <v>0</v>
      </c>
      <c r="D26" s="23" t="n">
        <v>0</v>
      </c>
      <c r="E26" s="25" t="n">
        <f aca="false">-Assumptions!$B$56</f>
        <v>-8</v>
      </c>
      <c r="F26" s="23" t="n">
        <v>0</v>
      </c>
      <c r="G26" s="23" t="n">
        <v>0</v>
      </c>
      <c r="H26" s="23" t="n">
        <v>0</v>
      </c>
      <c r="I26" s="23" t="n">
        <v>0</v>
      </c>
    </row>
    <row r="28" customFormat="false" ht="15" hidden="false" customHeight="false" outlineLevel="0" collapsed="false">
      <c r="A28" s="17" t="s">
        <v>181</v>
      </c>
      <c r="B28" s="5" t="s">
        <v>179</v>
      </c>
      <c r="C28" s="22" t="n">
        <f aca="false">C21+C23+C20*-1+C24+C25+C26</f>
        <v>23.0953161657244</v>
      </c>
      <c r="D28" s="22" t="n">
        <f aca="false">D21+D23+D20*-1+D24+D25+D26</f>
        <v>27.8567989333891</v>
      </c>
      <c r="E28" s="22" t="n">
        <f aca="false">E21+E23+E20*-1+E24+E25+E26</f>
        <v>21.3242438356164</v>
      </c>
      <c r="F28" s="22" t="n">
        <f aca="false">F21+F23+F20*-1+F24+F25+F26</f>
        <v>32.0638936684932</v>
      </c>
      <c r="G28" s="22" t="n">
        <f aca="false">G21+G23+G20*-1+G24+G25+G26</f>
        <v>36.8661838808219</v>
      </c>
      <c r="H28" s="22" t="n">
        <f aca="false">H21+H23+H20*-1+H24+H25+H26</f>
        <v>39.5922970374845</v>
      </c>
      <c r="I28" s="22" t="n">
        <f aca="false">I21+I23+I20*-1+I24+I25+I26</f>
        <v>42.1146668248745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customHeight="false" zeroHeight="false" outlineLevelRow="0" outlineLevelCol="0"/>
  <cols>
    <col collapsed="false" customWidth="true" hidden="false" outlineLevel="0" max="1" min="1" style="0" width="40"/>
    <col collapsed="false" customWidth="true" hidden="false" outlineLevel="0" max="9" min="2" style="0" width="11"/>
  </cols>
  <sheetData>
    <row r="1" customFormat="false" ht="17.35" hidden="false" customHeight="false" outlineLevel="0" collapsed="false">
      <c r="A1" s="1" t="s">
        <v>182</v>
      </c>
    </row>
    <row r="2" customFormat="false" ht="52.4" hidden="false" customHeight="false" outlineLevel="0" collapsed="false">
      <c r="A2" s="2" t="s">
        <v>183</v>
      </c>
    </row>
    <row r="4" customFormat="false" ht="15" hidden="false" customHeight="false" outlineLevel="0" collapsed="false">
      <c r="A4" s="5" t="s">
        <v>131</v>
      </c>
      <c r="B4" s="21" t="s">
        <v>135</v>
      </c>
      <c r="C4" s="21" t="s">
        <v>136</v>
      </c>
      <c r="D4" s="21" t="s">
        <v>137</v>
      </c>
      <c r="E4" s="21" t="s">
        <v>138</v>
      </c>
      <c r="F4" s="21" t="s">
        <v>139</v>
      </c>
    </row>
    <row r="5" customFormat="false" ht="15" hidden="false" customHeight="false" outlineLevel="0" collapsed="false">
      <c r="A5" s="9" t="s">
        <v>181</v>
      </c>
      <c r="B5" s="25" t="n">
        <f aca="false">Carveout_PnL!E28</f>
        <v>21.3242438356164</v>
      </c>
      <c r="C5" s="25" t="n">
        <f aca="false">Carveout_PnL!F28</f>
        <v>32.0638936684932</v>
      </c>
      <c r="D5" s="25" t="n">
        <f aca="false">Carveout_PnL!G28</f>
        <v>36.8661838808219</v>
      </c>
      <c r="E5" s="25" t="n">
        <f aca="false">Carveout_PnL!H28</f>
        <v>39.5922970374845</v>
      </c>
      <c r="F5" s="25" t="n">
        <f aca="false">Carveout_PnL!I28</f>
        <v>42.1146668248745</v>
      </c>
    </row>
    <row r="6" customFormat="false" ht="15" hidden="false" customHeight="false" outlineLevel="0" collapsed="false">
      <c r="A6" s="9" t="s">
        <v>184</v>
      </c>
      <c r="B6" s="29" t="n">
        <v>1</v>
      </c>
      <c r="C6" s="29" t="n">
        <v>2</v>
      </c>
      <c r="D6" s="29" t="n">
        <v>3</v>
      </c>
      <c r="E6" s="29" t="n">
        <v>4</v>
      </c>
      <c r="F6" s="29" t="n">
        <v>5</v>
      </c>
    </row>
    <row r="7" customFormat="false" ht="15" hidden="false" customHeight="false" outlineLevel="0" collapsed="false">
      <c r="A7" s="9" t="s">
        <v>185</v>
      </c>
      <c r="B7" s="30" t="n">
        <f aca="false">1/(1+Assumptions!$B$90)^B6</f>
        <v>0.91846762860843</v>
      </c>
      <c r="C7" s="30" t="n">
        <f aca="false">1/(1+Assumptions!$B$90)^C6</f>
        <v>0.843582784801592</v>
      </c>
      <c r="D7" s="30" t="n">
        <f aca="false">1/(1+Assumptions!$B$90)^D6</f>
        <v>0.774803479891614</v>
      </c>
      <c r="E7" s="30" t="n">
        <f aca="false">1/(1+Assumptions!$B$90)^E6</f>
        <v>0.71163191481361</v>
      </c>
      <c r="F7" s="30" t="n">
        <f aca="false">1/(1+Assumptions!$B$90)^F6</f>
        <v>0.653610877240932</v>
      </c>
    </row>
    <row r="8" customFormat="false" ht="15" hidden="false" customHeight="false" outlineLevel="0" collapsed="false">
      <c r="A8" s="9" t="s">
        <v>186</v>
      </c>
      <c r="B8" s="23" t="n">
        <f aca="false">B5*B7</f>
        <v>19.5856276675666</v>
      </c>
      <c r="C8" s="23" t="n">
        <f aca="false">C5*C7</f>
        <v>27.0485487124496</v>
      </c>
      <c r="D8" s="23" t="n">
        <f aca="false">D5*D7</f>
        <v>28.5640475611849</v>
      </c>
      <c r="E8" s="23" t="n">
        <f aca="false">E5*E7</f>
        <v>28.1751421526543</v>
      </c>
      <c r="F8" s="23" t="n">
        <f aca="false">F5*F7</f>
        <v>27.5266043281158</v>
      </c>
    </row>
    <row r="10" customFormat="false" ht="15" hidden="false" customHeight="false" outlineLevel="0" collapsed="false">
      <c r="A10" s="17" t="s">
        <v>187</v>
      </c>
      <c r="F10" s="22" t="n">
        <f aca="false">F5*(1+Assumptions!$B$92)/(Assumptions!$B$90-Assumptions!$B$92)</f>
        <v>738.099486636391</v>
      </c>
    </row>
    <row r="11" customFormat="false" ht="15" hidden="false" customHeight="false" outlineLevel="0" collapsed="false">
      <c r="A11" s="9" t="s">
        <v>188</v>
      </c>
      <c r="F11" s="22" t="n">
        <f aca="false">F10*F7</f>
        <v>482.429852951493</v>
      </c>
    </row>
    <row r="13" customFormat="false" ht="15" hidden="false" customHeight="false" outlineLevel="0" collapsed="false">
      <c r="A13" s="9" t="s">
        <v>189</v>
      </c>
      <c r="B13" s="23" t="n">
        <f aca="false">SUM(B8:F8)</f>
        <v>130.899970421971</v>
      </c>
    </row>
    <row r="14" customFormat="false" ht="15" hidden="false" customHeight="false" outlineLevel="0" collapsed="false">
      <c r="A14" s="9" t="s">
        <v>188</v>
      </c>
      <c r="B14" s="23" t="n">
        <f aca="false">F11</f>
        <v>482.429852951493</v>
      </c>
    </row>
    <row r="15" customFormat="false" ht="15" hidden="false" customHeight="false" outlineLevel="0" collapsed="false">
      <c r="A15" s="17" t="s">
        <v>190</v>
      </c>
      <c r="B15" s="31" t="n">
        <f aca="false">B13+B14</f>
        <v>613.329823373465</v>
      </c>
    </row>
    <row r="16" customFormat="false" ht="15" hidden="false" customHeight="false" outlineLevel="0" collapsed="false">
      <c r="A16" s="9" t="s">
        <v>191</v>
      </c>
      <c r="B16" s="13" t="n">
        <f aca="false">B14/B15</f>
        <v>0.786574913800882</v>
      </c>
    </row>
    <row r="18" customFormat="false" ht="15" hidden="false" customHeight="false" outlineLevel="0" collapsed="false">
      <c r="A18" s="9" t="s">
        <v>192</v>
      </c>
      <c r="B18" s="32" t="n">
        <f aca="false">B15/Carveout_PnL!E5</f>
        <v>1.9470788043602</v>
      </c>
    </row>
    <row r="19" customFormat="false" ht="15" hidden="false" customHeight="false" outlineLevel="0" collapsed="false">
      <c r="A19" s="9" t="s">
        <v>193</v>
      </c>
      <c r="B19" s="32" t="n">
        <f aca="false">B15/Carveout_PnL!E11</f>
        <v>11.8004776021831</v>
      </c>
    </row>
    <row r="21" customFormat="false" ht="15" hidden="false" customHeight="false" outlineLevel="0" collapsed="false">
      <c r="A21" s="17" t="s">
        <v>194</v>
      </c>
    </row>
    <row r="22" customFormat="false" ht="15" hidden="false" customHeight="false" outlineLevel="0" collapsed="false">
      <c r="A22" s="9" t="s">
        <v>195</v>
      </c>
      <c r="B22" s="23" t="n">
        <f aca="false">B15</f>
        <v>613.329823373465</v>
      </c>
    </row>
    <row r="23" customFormat="false" ht="15" hidden="false" customHeight="false" outlineLevel="0" collapsed="false">
      <c r="A23" s="9" t="s">
        <v>196</v>
      </c>
      <c r="B23" s="5" t="s">
        <v>197</v>
      </c>
    </row>
    <row r="24" customFormat="false" ht="15" hidden="false" customHeight="false" outlineLevel="0" collapsed="false">
      <c r="A24" s="9" t="s">
        <v>198</v>
      </c>
      <c r="B24" s="5" t="s">
        <v>197</v>
      </c>
    </row>
    <row r="25" customFormat="false" ht="15" hidden="false" customHeight="false" outlineLevel="0" collapsed="false">
      <c r="A25" s="17" t="s">
        <v>199</v>
      </c>
      <c r="B25" s="33" t="s">
        <v>200</v>
      </c>
    </row>
    <row r="27" customFormat="false" ht="45" hidden="false" customHeight="true" outlineLevel="0" collapsed="false">
      <c r="A27" s="34" t="s">
        <v>201</v>
      </c>
      <c r="B27" s="34"/>
      <c r="C27" s="34"/>
      <c r="D27" s="34"/>
      <c r="E27" s="34"/>
      <c r="F27" s="34"/>
    </row>
    <row r="30" customFormat="false" ht="15" hidden="false" customHeight="false" outlineLevel="0" collapsed="false">
      <c r="A30" s="17" t="s">
        <v>202</v>
      </c>
    </row>
    <row r="31" customFormat="false" ht="15" hidden="false" customHeight="false" outlineLevel="0" collapsed="false">
      <c r="A31" s="35" t="s">
        <v>203</v>
      </c>
      <c r="B31" s="36" t="n">
        <f aca="false">Assumptions!$B$92+(-0.01)</f>
        <v>0.02</v>
      </c>
      <c r="C31" s="36" t="n">
        <f aca="false">Assumptions!$B$92+(-0.005)</f>
        <v>0.025</v>
      </c>
      <c r="D31" s="36" t="n">
        <f aca="false">Assumptions!$B$92+(0)</f>
        <v>0.03</v>
      </c>
      <c r="E31" s="36" t="n">
        <f aca="false">Assumptions!$B$92+(0.005)</f>
        <v>0.035</v>
      </c>
      <c r="F31" s="36" t="n">
        <f aca="false">Assumptions!$B$92+(0.01)</f>
        <v>0.04</v>
      </c>
    </row>
    <row r="32" customFormat="false" ht="15" hidden="false" customHeight="false" outlineLevel="0" collapsed="false">
      <c r="A32" s="37" t="n">
        <f aca="false">Assumptions!$B$90+(-0.01)</f>
        <v>0.07877</v>
      </c>
      <c r="B32" s="38" t="n">
        <f aca="false">B$5/(1+$A32)^1+C$5/(1+$A32)^2+D$5/(1+$A32)^3+E$5/(1+$A32)^4+F$5/(1+$A32)^5+(F$5*(1+B$31)/($A32-B$31))/(1+$A32)^5</f>
        <v>635.049601332901</v>
      </c>
      <c r="C32" s="38" t="n">
        <f aca="false">B$5/(1+$A32)^1+C$5/(1+$A32)^2+D$5/(1+$A32)^3+E$5/(1+$A32)^4+F$5/(1+$A32)^5+(F$5*(1+C$31)/($A32-C$31))/(1+$A32)^5</f>
        <v>684.252671717617</v>
      </c>
      <c r="D32" s="38" t="n">
        <f aca="false">B$5/(1+$A32)^1+C$5/(1+$A32)^2+D$5/(1+$A32)^3+E$5/(1+$A32)^4+F$5/(1+$A32)^5+(F$5*(1+D$31)/($A32-D$31))/(1+$A32)^5</f>
        <v>743.544540622881</v>
      </c>
      <c r="E32" s="38" t="n">
        <f aca="false">B$5/(1+$A32)^1+C$5/(1+$A32)^2+D$5/(1+$A32)^3+E$5/(1+$A32)^4+F$5/(1+$A32)^5+(F$5*(1+E$31)/($A32-E$31))/(1+$A32)^5</f>
        <v>816.382644142096</v>
      </c>
      <c r="F32" s="38" t="n">
        <f aca="false">B$5/(1+$A32)^1+C$5/(1+$A32)^2+D$5/(1+$A32)^3+E$5/(1+$A32)^4+F$5/(1+$A32)^5+(F$5*(1+F$31)/($A32-F$31))/(1+$A32)^5</f>
        <v>908.00798096521</v>
      </c>
    </row>
    <row r="33" customFormat="false" ht="15" hidden="false" customHeight="false" outlineLevel="0" collapsed="false">
      <c r="A33" s="37" t="n">
        <f aca="false">Assumptions!$B$90+(-0.005)</f>
        <v>0.08377</v>
      </c>
      <c r="B33" s="38" t="n">
        <f aca="false">B$5/(1+$A33)^1+C$5/(1+$A33)^2+D$5/(1+$A33)^3+E$5/(1+$A33)^4+F$5/(1+$A33)^5+(F$5*(1+B$31)/($A33-B$31))/(1+$A33)^5</f>
        <v>583.340142927444</v>
      </c>
      <c r="C33" s="38" t="n">
        <f aca="false">B$5/(1+$A33)^1+C$5/(1+$A33)^2+D$5/(1+$A33)^3+E$5/(1+$A33)^4+F$5/(1+$A33)^5+(F$5*(1+C$31)/($A33-C$31))/(1+$A33)^5</f>
        <v>624.067175281938</v>
      </c>
      <c r="D33" s="38" t="n">
        <f aca="false">B$5/(1+$A33)^1+C$5/(1+$A33)^2+D$5/(1+$A33)^3+E$5/(1+$A33)^4+F$5/(1+$A33)^5+(F$5*(1+D$31)/($A33-D$31))/(1+$A33)^5</f>
        <v>672.368511589285</v>
      </c>
      <c r="E33" s="38" t="n">
        <f aca="false">B$5/(1+$A33)^1+C$5/(1+$A33)^2+D$5/(1+$A33)^3+E$5/(1+$A33)^4+F$5/(1+$A33)^5+(F$5*(1+E$31)/($A33-E$31))/(1+$A33)^5</f>
        <v>730.573751178845</v>
      </c>
      <c r="F33" s="38" t="n">
        <f aca="false">B$5/(1+$A33)^1+C$5/(1+$A33)^2+D$5/(1+$A33)^3+E$5/(1+$A33)^4+F$5/(1+$A33)^5+(F$5*(1+F$31)/($A33-F$31))/(1+$A33)^5</f>
        <v>802.076966457132</v>
      </c>
    </row>
    <row r="34" customFormat="false" ht="15" hidden="false" customHeight="false" outlineLevel="0" collapsed="false">
      <c r="A34" s="37" t="n">
        <f aca="false">Assumptions!$B$90+(0)</f>
        <v>0.08877</v>
      </c>
      <c r="B34" s="38" t="n">
        <f aca="false">B$5/(1+$A34)^1+C$5/(1+$A34)^2+D$5/(1+$A34)^3+E$5/(1+$A34)^4+F$5/(1+$A34)^5+(F$5*(1+B$31)/($A34-B$31))/(1+$A34)^5</f>
        <v>539.175910725564</v>
      </c>
      <c r="C34" s="38" t="n">
        <f aca="false">B$5/(1+$A34)^1+C$5/(1+$A34)^2+D$5/(1+$A34)^3+E$5/(1+$A34)^4+F$5/(1+$A34)^5+(F$5*(1+C$31)/($A34-C$31))/(1+$A34)^5</f>
        <v>573.345782501612</v>
      </c>
      <c r="D34" s="39" t="n">
        <f aca="false">B$5/(1+$A34)^1+C$5/(1+$A34)^2+D$5/(1+$A34)^3+E$5/(1+$A34)^4+F$5/(1+$A34)^5+(F$5*(1+D$31)/($A34-D$31))/(1+$A34)^5</f>
        <v>613.329823373465</v>
      </c>
      <c r="E34" s="38" t="n">
        <f aca="false">B$5/(1+$A34)^1+C$5/(1+$A34)^2+D$5/(1+$A34)^3+E$5/(1+$A34)^4+F$5/(1+$A34)^5+(F$5*(1+E$31)/($A34-E$31))/(1+$A34)^5</f>
        <v>660.749988640305</v>
      </c>
      <c r="F34" s="38" t="n">
        <f aca="false">B$5/(1+$A34)^1+C$5/(1+$A34)^2+D$5/(1+$A34)^3+E$5/(1+$A34)^4+F$5/(1+$A34)^5+(F$5*(1+F$31)/($A34-F$31))/(1+$A34)^5</f>
        <v>717.893378280089</v>
      </c>
    </row>
    <row r="35" customFormat="false" ht="15" hidden="false" customHeight="false" outlineLevel="0" collapsed="false">
      <c r="A35" s="37" t="n">
        <f aca="false">Assumptions!$B$90+(0.005)</f>
        <v>0.09377</v>
      </c>
      <c r="B35" s="38" t="n">
        <f aca="false">B$5/(1+$A35)^1+C$5/(1+$A35)^2+D$5/(1+$A35)^3+E$5/(1+$A35)^4+F$5/(1+$A35)^5+(F$5*(1+B$31)/($A35-B$31))/(1+$A35)^5</f>
        <v>501.022191034009</v>
      </c>
      <c r="C35" s="38" t="n">
        <f aca="false">B$5/(1+$A35)^1+C$5/(1+$A35)^2+D$5/(1+$A35)^3+E$5/(1+$A35)^4+F$5/(1+$A35)^5+(F$5*(1+C$31)/($A35-C$31))/(1+$A35)^5</f>
        <v>530.023696083478</v>
      </c>
      <c r="D35" s="38" t="n">
        <f aca="false">B$5/(1+$A35)^1+C$5/(1+$A35)^2+D$5/(1+$A35)^3+E$5/(1+$A35)^4+F$5/(1+$A35)^5+(F$5*(1+D$31)/($A35-D$31))/(1+$A35)^5</f>
        <v>563.573030057123</v>
      </c>
      <c r="E35" s="38" t="n">
        <f aca="false">B$5/(1+$A35)^1+C$5/(1+$A35)^2+D$5/(1+$A35)^3+E$5/(1+$A35)^4+F$5/(1+$A35)^5+(F$5*(1+E$31)/($A35-E$31))/(1+$A35)^5</f>
        <v>602.830945615529</v>
      </c>
      <c r="F35" s="38" t="n">
        <f aca="false">B$5/(1+$A35)^1+C$5/(1+$A35)^2+D$5/(1+$A35)^3+E$5/(1+$A35)^4+F$5/(1+$A35)^5+(F$5*(1+F$31)/($A35-F$31))/(1+$A35)^5</f>
        <v>649.389942735849</v>
      </c>
    </row>
    <row r="36" customFormat="false" ht="15" hidden="false" customHeight="false" outlineLevel="0" collapsed="false">
      <c r="A36" s="37" t="n">
        <f aca="false">Assumptions!$B$90+(0.01)</f>
        <v>0.09877</v>
      </c>
      <c r="B36" s="38" t="n">
        <f aca="false">B$5/(1+$A36)^1+C$5/(1+$A36)^2+D$5/(1+$A36)^3+E$5/(1+$A36)^4+F$5/(1+$A36)^5+(F$5*(1+B$31)/($A36-B$31))/(1+$A36)^5</f>
        <v>467.733952390693</v>
      </c>
      <c r="C36" s="38" t="n">
        <f aca="false">B$5/(1+$A36)^1+C$5/(1+$A36)^2+D$5/(1+$A36)^3+E$5/(1+$A36)^4+F$5/(1+$A36)^5+(F$5*(1+C$31)/($A36-C$31))/(1+$A36)^5</f>
        <v>492.5959243134</v>
      </c>
      <c r="D36" s="38" t="n">
        <f aca="false">B$5/(1+$A36)^1+C$5/(1+$A36)^2+D$5/(1+$A36)^3+E$5/(1+$A36)^4+F$5/(1+$A36)^5+(F$5*(1+D$31)/($A36-D$31))/(1+$A36)^5</f>
        <v>521.073131356467</v>
      </c>
      <c r="E36" s="38" t="n">
        <f aca="false">B$5/(1+$A36)^1+C$5/(1+$A36)^2+D$5/(1+$A36)^3+E$5/(1+$A36)^4+F$5/(1+$A36)^5+(F$5*(1+E$31)/($A36-E$31))/(1+$A36)^5</f>
        <v>554.015950292753</v>
      </c>
      <c r="F36" s="38" t="n">
        <f aca="false">B$5/(1+$A36)^1+C$5/(1+$A36)^2+D$5/(1+$A36)^3+E$5/(1+$A36)^4+F$5/(1+$A36)^5+(F$5*(1+F$31)/($A36-F$31))/(1+$A36)^5</f>
        <v>592.564149344114</v>
      </c>
    </row>
  </sheetData>
  <mergeCells count="1">
    <mergeCell ref="A27:F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customHeight="false" zeroHeight="false" outlineLevelRow="0" outlineLevelCol="0"/>
  <cols>
    <col collapsed="false" customWidth="true" hidden="false" outlineLevel="0" max="1" min="1" style="0" width="12"/>
    <col collapsed="false" customWidth="true" hidden="false" outlineLevel="0" max="3" min="2" style="0" width="55"/>
    <col collapsed="false" customWidth="true" hidden="false" outlineLevel="0" max="4" min="4" style="0" width="22"/>
  </cols>
  <sheetData>
    <row r="1" customFormat="false" ht="15" hidden="false" customHeight="false" outlineLevel="0" collapsed="false">
      <c r="A1" s="6" t="s">
        <v>204</v>
      </c>
      <c r="B1" s="6" t="s">
        <v>205</v>
      </c>
      <c r="C1" s="6" t="s">
        <v>206</v>
      </c>
      <c r="D1" s="6" t="s">
        <v>207</v>
      </c>
    </row>
    <row r="2" customFormat="false" ht="46.95" hidden="false" customHeight="false" outlineLevel="0" collapsed="false">
      <c r="A2" s="3" t="s">
        <v>208</v>
      </c>
      <c r="B2" s="3" t="s">
        <v>209</v>
      </c>
      <c r="C2" s="3" t="s">
        <v>210</v>
      </c>
      <c r="D2" s="3" t="s">
        <v>211</v>
      </c>
    </row>
    <row r="3" customFormat="false" ht="46.95" hidden="false" customHeight="false" outlineLevel="0" collapsed="false">
      <c r="A3" s="3" t="s">
        <v>212</v>
      </c>
      <c r="B3" s="3" t="s">
        <v>213</v>
      </c>
      <c r="C3" s="3" t="s">
        <v>214</v>
      </c>
      <c r="D3" s="3" t="s">
        <v>215</v>
      </c>
    </row>
    <row r="4" customFormat="false" ht="35.5" hidden="false" customHeight="false" outlineLevel="0" collapsed="false">
      <c r="A4" s="3" t="s">
        <v>216</v>
      </c>
      <c r="B4" s="3" t="s">
        <v>217</v>
      </c>
      <c r="C4" s="3" t="s">
        <v>218</v>
      </c>
      <c r="D4" s="3" t="s">
        <v>219</v>
      </c>
    </row>
    <row r="5" customFormat="false" ht="46.95" hidden="false" customHeight="false" outlineLevel="0" collapsed="false">
      <c r="A5" s="3" t="s">
        <v>220</v>
      </c>
      <c r="B5" s="3" t="s">
        <v>221</v>
      </c>
      <c r="C5" s="3" t="s">
        <v>222</v>
      </c>
      <c r="D5" s="3" t="s">
        <v>223</v>
      </c>
    </row>
    <row r="6" customFormat="false" ht="46.95" hidden="false" customHeight="false" outlineLevel="0" collapsed="false">
      <c r="A6" s="3" t="s">
        <v>224</v>
      </c>
      <c r="B6" s="3" t="s">
        <v>225</v>
      </c>
      <c r="C6" s="3" t="s">
        <v>226</v>
      </c>
      <c r="D6" s="3" t="s">
        <v>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2026-09-17T20:14:32Z</dcterms:created>
  <dc:creator>openpyxl</dc:creator>
  <dc:description/>
  <dc:language>en-GB</dc:language>
  <cp:lastModifiedBy/>
  <dcterms:modified xsi:type="dcterms:W3CDTF">2026-10-09T15:30:27Z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
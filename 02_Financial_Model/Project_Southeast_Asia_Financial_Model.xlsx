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Revenue_Build" sheetId="3" state="visible" r:id="rId3"/>
    <sheet xmlns:r="http://schemas.openxmlformats.org/officeDocument/2006/relationships" name="Working_Capital" sheetId="4" state="visible" r:id="rId4"/>
    <sheet xmlns:r="http://schemas.openxmlformats.org/officeDocument/2006/relationships" name="Capex_DA" sheetId="5" state="visible" r:id="rId5"/>
    <sheet xmlns:r="http://schemas.openxmlformats.org/officeDocument/2006/relationships" name="Carveout_PnL" sheetId="6" state="visible" r:id="rId6"/>
    <sheet xmlns:r="http://schemas.openxmlformats.org/officeDocument/2006/relationships" name="DCF_Valuation"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6">
    <numFmt numFmtId="164" formatCode="#,##0.0;(#,##0.0);&quot;-&quot;"/>
    <numFmt numFmtId="165" formatCode="0.000"/>
    <numFmt numFmtId="166" formatCode="0.0%"/>
    <numFmt numFmtId="167" formatCode="#,##0.0"/>
    <numFmt numFmtId="168" formatCode="0.00x"/>
    <numFmt numFmtId="169" formatCode="#,##0;(#,##0);&quot;-&quot;"/>
  </numFmts>
  <fonts count="12">
    <font>
      <name val="Calibri"/>
      <family val="2"/>
      <color theme="1"/>
      <sz val="11"/>
      <scheme val="minor"/>
    </font>
    <font>
      <name val="Arial"/>
      <b val="1"/>
      <sz val="14"/>
    </font>
    <font>
      <name val="Arial"/>
      <i val="1"/>
      <color rgb="00555555"/>
      <sz val="9"/>
    </font>
    <font>
      <name val="Arial"/>
      <color rgb="00000000"/>
      <sz val="10"/>
    </font>
    <font>
      <name val="Arial"/>
      <b val="1"/>
      <sz val="10"/>
    </font>
    <font>
      <name val="Arial"/>
      <b val="1"/>
      <color rgb="00FFFFFF"/>
      <sz val="10"/>
    </font>
    <font>
      <name val="Arial"/>
      <b val="1"/>
      <color rgb="001F3864"/>
      <sz val="10"/>
    </font>
    <font>
      <name val="Arial"/>
      <color rgb="000000FF"/>
      <sz val="10"/>
    </font>
    <font>
      <name val="Arial"/>
      <b val="1"/>
      <color rgb="00000000"/>
      <sz val="10"/>
    </font>
    <font>
      <name val="Arial"/>
      <color rgb="00008000"/>
      <sz val="10"/>
    </font>
    <font>
      <name val="Arial"/>
      <b val="1"/>
      <color rgb="00008000"/>
      <sz val="10"/>
    </font>
    <font>
      <name val="Arial"/>
      <b val="1"/>
      <i val="1"/>
      <color rgb="00C00000"/>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5" fillId="2" borderId="0" pivotButton="0" quotePrefix="0" xfId="0"/>
    <xf numFmtId="0" fontId="6" fillId="3" borderId="0" pivotButton="0" quotePrefix="0" xfId="0"/>
    <xf numFmtId="0" fontId="0" fillId="3" borderId="0" pivotButton="0" quotePrefix="0" xfId="0"/>
    <xf numFmtId="0" fontId="3" fillId="0" borderId="0" pivotButton="0" quotePrefix="0" xfId="0"/>
    <xf numFmtId="164" fontId="7" fillId="4" borderId="0" pivotButton="0" quotePrefix="0" xfId="0"/>
    <xf numFmtId="165" fontId="7" fillId="0" borderId="0" pivotButton="0" quotePrefix="0" xfId="0"/>
    <xf numFmtId="166" fontId="7" fillId="4" borderId="0" pivotButton="0" quotePrefix="0" xfId="0"/>
    <xf numFmtId="166" fontId="3" fillId="0" borderId="0" pivotButton="0" quotePrefix="0" xfId="0"/>
    <xf numFmtId="166" fontId="7" fillId="0" borderId="0" pivotButton="0" quotePrefix="0" xfId="0"/>
    <xf numFmtId="164" fontId="7" fillId="0" borderId="0" pivotButton="0" quotePrefix="0" xfId="0"/>
    <xf numFmtId="167" fontId="7" fillId="4" borderId="0" pivotButton="0" quotePrefix="0" xfId="0"/>
    <xf numFmtId="0" fontId="4" fillId="0" borderId="0" pivotButton="0" quotePrefix="0" xfId="0"/>
    <xf numFmtId="166" fontId="8" fillId="0" borderId="0" pivotButton="0" quotePrefix="0" xfId="0"/>
    <xf numFmtId="2" fontId="7" fillId="4" borderId="0" pivotButton="0" quotePrefix="0" xfId="0"/>
    <xf numFmtId="166" fontId="8" fillId="4" borderId="0" pivotButton="0" quotePrefix="0" xfId="0"/>
    <xf numFmtId="0" fontId="5" fillId="2" borderId="0" applyAlignment="1" pivotButton="0" quotePrefix="0" xfId="0">
      <alignment horizontal="center"/>
    </xf>
    <xf numFmtId="164" fontId="8" fillId="0" borderId="0" pivotButton="0" quotePrefix="0" xfId="0"/>
    <xf numFmtId="164" fontId="3" fillId="0" borderId="0" pivotButton="0" quotePrefix="0" xfId="0"/>
    <xf numFmtId="2" fontId="2" fillId="0" borderId="0" pivotButton="0" quotePrefix="0" xfId="0"/>
    <xf numFmtId="164" fontId="9" fillId="0" borderId="0" pivotButton="0" quotePrefix="0" xfId="0"/>
    <xf numFmtId="164" fontId="10" fillId="0" borderId="0" pivotButton="0" quotePrefix="0" xfId="0"/>
    <xf numFmtId="166" fontId="9" fillId="0" borderId="0" pivotButton="0" quotePrefix="0" xfId="0"/>
    <xf numFmtId="165" fontId="2" fillId="0" borderId="0" pivotButton="0" quotePrefix="0" xfId="0"/>
    <xf numFmtId="1" fontId="3" fillId="0" borderId="0" pivotButton="0" quotePrefix="0" xfId="0"/>
    <xf numFmtId="165" fontId="3" fillId="0" borderId="0" pivotButton="0" quotePrefix="0" xfId="0"/>
    <xf numFmtId="164" fontId="8" fillId="4" borderId="0" pivotButton="0" quotePrefix="0" xfId="0"/>
    <xf numFmtId="168" fontId="9" fillId="0" borderId="0" pivotButton="0" quotePrefix="0" xfId="0"/>
    <xf numFmtId="0" fontId="11" fillId="0" borderId="0" pivotButton="0" quotePrefix="0" xfId="0"/>
    <xf numFmtId="0" fontId="4" fillId="3" borderId="0" pivotButton="0" quotePrefix="0" xfId="0"/>
    <xf numFmtId="166" fontId="8" fillId="3" borderId="0" applyAlignment="1" pivotButton="0" quotePrefix="0" xfId="0">
      <alignment horizontal="center"/>
    </xf>
    <xf numFmtId="166" fontId="8" fillId="3" borderId="0" pivotButton="0" quotePrefix="0" xfId="0"/>
    <xf numFmtId="169" fontId="3" fillId="0" borderId="1" pivotButton="0" quotePrefix="0" xfId="0"/>
    <xf numFmtId="169"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5" customWidth="1" min="1" max="1"/>
  </cols>
  <sheetData>
    <row r="1">
      <c r="A1" s="1" t="inlineStr">
        <is>
          <t>Project Southeast Asia — Carve-Out Financial Model</t>
        </is>
      </c>
    </row>
    <row r="2">
      <c r="A2" s="2" t="inlineStr">
        <is>
          <t>Independent student analysis/reconstruction based on publicly available information. Not affiliated with, commissioned by, or representative of Goldman Sachs or AkzoNobel.</t>
        </is>
      </c>
    </row>
    <row r="3">
      <c r="A3" s="3" t="inlineStr"/>
    </row>
    <row r="4">
      <c r="A4" s="4" t="inlineStr">
        <is>
          <t>SCOPE: This model reconstructs a carve-out P&amp;L and unlevered DCF for AkzoNobel's reported Southeast Asian decorative paints operations (Indonesia, Thailand, Malaysia, Vietnam), based on the single public revenue data point disclosed by ION Analytics (EUR 300m annual revenue) and the asset perimeter mapped in 01_Source_Data/SEA_Asset_Perimeter.xlsx.</t>
        </is>
      </c>
    </row>
    <row r="5">
      <c r="A5" s="3" t="inlineStr"/>
    </row>
    <row r="6">
      <c r="A6" s="4" t="inlineStr">
        <is>
          <t>CRITICAL LIMITATION: AkzoNobel does not publicly disclose SEA-decorative-specific EBITDA, margins, working capital, capex, D&amp;A, or country-level revenue splits. Every line in this model beyond the single EUR 300m revenue anchor and the four countries' statutory tax rates is therefore either an ANALYST CALCULATION built from that anchor, or an ILLUSTRATIVE ASSUMPTION. This is disclosed on every tab via the color/classification legend below and documented cell-by-cell in the Assumptions tab and Support_Assumptions.xlsx (09_Assumptions).</t>
        </is>
      </c>
    </row>
    <row r="7">
      <c r="A7" s="3" t="inlineStr"/>
    </row>
    <row r="8">
      <c r="A8" s="4" t="inlineStr">
        <is>
          <t>COLOR LEGEND:</t>
        </is>
      </c>
    </row>
    <row r="9">
      <c r="A9" s="3" t="inlineStr">
        <is>
          <t xml:space="preserve">  Blue text   = hardcoded input / assumption (see Assumptions tab for source and rationale)</t>
        </is>
      </c>
    </row>
    <row r="10">
      <c r="A10" s="3" t="inlineStr">
        <is>
          <t xml:space="preserve">  Black text  = formula calculated within this workbook</t>
        </is>
      </c>
    </row>
    <row r="11">
      <c r="A11" s="3" t="inlineStr">
        <is>
          <t xml:space="preserve">  Green text  = link to another sheet in this workbook</t>
        </is>
      </c>
    </row>
    <row r="12">
      <c r="A12" s="3" t="inlineStr">
        <is>
          <t xml:space="preserve">  Yellow fill = key assumption the reader should scrutinize first</t>
        </is>
      </c>
    </row>
    <row r="13">
      <c r="A13" s="3" t="inlineStr"/>
    </row>
    <row r="14">
      <c r="A14" s="4" t="inlineStr">
        <is>
          <t>HISTORICAL PERIOD (FY2023-FY2025): AkzoNobel has not disclosed SEA-decorative historical financials. The FY2025 revenue figure (EUR 300m) is the one public data point (ION Analytics, reported in the context of the CEO's April 2026 comments). FY2023 and FY2024 are back-solved from FY2025 using an ILLUSTRATIVE historical growth assumption anchored to ASEAN paints market growth — they are not observed historical actuals and should not be cited as such.</t>
        </is>
      </c>
    </row>
    <row r="15">
      <c r="A15" s="3" t="inlineStr"/>
    </row>
    <row r="16">
      <c r="A16" s="4" t="inlineStr">
        <is>
          <t>EBITDA MARGIN: FY2024 (14.2%) and FY2025 (15.8%) margin assumptions are set equal to AkzoNobel's ACTUAL, PUBLICLY DISCLOSED GLOBAL Decorative Paints segment EBITDA margin (source: AkzoNobel FY2025 results release) as a starting proxy — this is a modeling choice, not a confirmed SEA-specific figure, since no SEA-only margin is disclosed. Forward margin assumptions ramp modestly above the group average toward regional peer levels (Nippon Paint ~18%, Asian Paints ~19-21%), reflecting SEA's higher-growth market profile — this is explicitly an ILLUSTRATIVE ASSUMPTION, not a disclosed target.</t>
        </is>
      </c>
    </row>
    <row r="17">
      <c r="A17" s="3" t="inlineStr"/>
    </row>
    <row r="18">
      <c r="A18" s="4" t="inlineStr">
        <is>
          <t>TAX: Country statutory corporate income tax rates (Indonesia 22%, Thailand 20%, Malaysia 24%, Vietnam 20%) are PUBLIC FACTS (OECD / Tax Foundation / PwC tax summaries, 2026). The blended effective rate applied to the carve-out is an ANALYST CALCULATION (revenue-weighted average of the four statutory rates) — it does not reflect any AkzoNobel-specific effective tax rate, incentives, or holding structure, which are not disclosed.</t>
        </is>
      </c>
    </row>
    <row r="19">
      <c r="A19" s="3" t="inlineStr"/>
    </row>
    <row r="20">
      <c r="A20" s="4" t="inlineStr">
        <is>
          <t>TABS: Assumptions | Revenue_Build | Working_Capital | Capex_DA | Carveout_PnL | DCF_Valuation</t>
        </is>
      </c>
    </row>
    <row r="21">
      <c r="A21" s="3" t="inlineStr"/>
    </row>
    <row r="22">
      <c r="A22" s="3" t="inlineStr">
        <is>
          <t>See 09_Assumptions/Support_Assumptions.xlsx for the consolidated assumptions book and 10_Supporting_Research/Support_Sources.xlsx for the full source log (source 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2"/>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22" customWidth="1" min="3" max="3"/>
    <col width="55" customWidth="1" min="4" max="4"/>
    <col width="12" customWidth="1" min="5" max="5"/>
    <col width="12" customWidth="1" min="6" max="6"/>
    <col width="12" customWidth="1" min="7" max="7"/>
    <col width="12" customWidth="1" min="8" max="8"/>
    <col width="12" customWidth="1" min="9" max="9"/>
  </cols>
  <sheetData>
    <row r="1">
      <c r="A1" s="1" t="inlineStr">
        <is>
          <t>Assumptions</t>
        </is>
      </c>
    </row>
    <row r="2">
      <c r="A2" s="5" t="inlineStr">
        <is>
          <t>All inputs used across the model. Blue = hardcoded input. See Classification and Rationale columns for support.</t>
        </is>
      </c>
    </row>
    <row r="4">
      <c r="A4" s="6" t="inlineStr">
        <is>
          <t>Assumption</t>
        </is>
      </c>
      <c r="B4" s="6" t="inlineStr">
        <is>
          <t>Value</t>
        </is>
      </c>
      <c r="C4" s="6" t="inlineStr">
        <is>
          <t>Classification</t>
        </is>
      </c>
      <c r="D4" s="6" t="inlineStr">
        <is>
          <t>Source / Rationale</t>
        </is>
      </c>
    </row>
    <row r="6">
      <c r="A6" s="7" t="inlineStr">
        <is>
          <t>1. Transaction Anchor</t>
        </is>
      </c>
      <c r="B6" s="8" t="n"/>
      <c r="C6" s="8" t="n"/>
      <c r="D6" s="8" t="n"/>
    </row>
    <row r="7">
      <c r="A7" s="9" t="inlineStr">
        <is>
          <t>FY2025 SEA Decorative Paints revenue (EUR mm)</t>
        </is>
      </c>
      <c r="B7" s="10" t="n">
        <v>300</v>
      </c>
      <c r="C7" s="5" t="inlineStr">
        <is>
          <t>PUBLIC FACT</t>
        </is>
      </c>
      <c r="D7" s="2" t="inlineStr">
        <is>
          <t>ION Analytics, 'AkzoNobel taps Goldman Sachs for sale of Southeast Asia paints assets' (SRC-001). Treated as the FY2025 (last full year) revenue base for this model.</t>
        </is>
      </c>
    </row>
    <row r="8">
      <c r="A8" s="9" t="inlineStr">
        <is>
          <t>Implied EUR/USD (as reported in source)</t>
        </is>
      </c>
      <c r="B8" s="11" t="n">
        <v>1.153</v>
      </c>
      <c r="C8" s="5" t="inlineStr">
        <is>
          <t>PUBLIC FACT</t>
        </is>
      </c>
      <c r="D8" s="2" t="inlineStr">
        <is>
          <t>ION article states EUR 300m approx. USD 346m; 346/300 = 1.153.</t>
        </is>
      </c>
    </row>
    <row r="10">
      <c r="A10" s="7" t="inlineStr">
        <is>
          <t>2. Country Revenue Split (ILLUSTRATIVE ASSUMPTION)</t>
        </is>
      </c>
      <c r="B10" s="8" t="n"/>
      <c r="C10" s="8" t="n"/>
      <c r="D10" s="8" t="n"/>
    </row>
    <row r="11">
      <c r="A11" s="9" t="inlineStr">
        <is>
          <t>Indonesia % of SEA revenue</t>
        </is>
      </c>
      <c r="B11" s="12" t="n">
        <v>0.4</v>
      </c>
      <c r="C11" s="5" t="inlineStr">
        <is>
          <t>ILLUSTRATIVE ASSUMPTION</t>
        </is>
      </c>
      <c r="D11" s="2" t="inlineStr">
        <is>
          <t>Largest ASEAN economy/population and largest confirmed AkzoNobel decorative footprint (Tangerang site) per 01_Source_Data/SEA_Asset_Perimeter.xlsx. No disclosed country split exists.</t>
        </is>
      </c>
    </row>
    <row r="12">
      <c r="A12" s="9" t="inlineStr">
        <is>
          <t>Thailand % of SEA revenue</t>
        </is>
      </c>
      <c r="B12" s="12" t="n">
        <v>0.25</v>
      </c>
      <c r="C12" s="5" t="inlineStr">
        <is>
          <t>ILLUSTRATIVE ASSUMPTION</t>
        </is>
      </c>
      <c r="D12" s="2" t="inlineStr">
        <is>
          <t>Second-largest confirmed footprint (AkzoNobel entered Thailand 1963; Bangkok decorative site).</t>
        </is>
      </c>
    </row>
    <row r="13">
      <c r="A13" s="9" t="inlineStr">
        <is>
          <t>Vietnam % of SEA revenue</t>
        </is>
      </c>
      <c r="B13" s="12" t="n">
        <v>0.2</v>
      </c>
      <c r="C13" s="5" t="inlineStr">
        <is>
          <t>ILLUSTRATIVE ASSUMPTION</t>
        </is>
      </c>
      <c r="D13" s="2" t="inlineStr">
        <is>
          <t>Ben Cat, Binh Duong is AkzoNobel's largest single site in Vietnam (100m litre capacity); fast-growing market.</t>
        </is>
      </c>
    </row>
    <row r="14">
      <c r="A14" s="9" t="inlineStr">
        <is>
          <t>Malaysia % of SEA revenue</t>
        </is>
      </c>
      <c r="B14" s="12" t="n">
        <v>0.15</v>
      </c>
      <c r="C14" s="5" t="inlineStr">
        <is>
          <t>ILLUSTRATIVE ASSUMPTION</t>
        </is>
      </c>
      <c r="D14" s="2" t="inlineStr">
        <is>
          <t>Smallest of the four confirmed markets by population/construction spend; site-level detail unconfirmed.</t>
        </is>
      </c>
    </row>
    <row r="15">
      <c r="A15" s="5" t="inlineStr">
        <is>
          <t>Check: sum of country splits</t>
        </is>
      </c>
      <c r="B15" s="13">
        <f>SUM(B11:B14)</f>
        <v/>
      </c>
    </row>
    <row r="17">
      <c r="A17" s="7" t="inlineStr">
        <is>
          <t>3. Revenue Growth (ILLUSTRATIVE — anchored to ASEAN paints market CAGR ~5.0%, 2026-2031, per ION article market-size figures)</t>
        </is>
      </c>
      <c r="B17" s="8" t="n"/>
      <c r="C17" s="8" t="n"/>
      <c r="D17" s="8" t="n"/>
    </row>
    <row r="18">
      <c r="A18" s="9" t="inlineStr">
        <is>
          <t>FY2024 growth (backward-implied, historical)</t>
        </is>
      </c>
      <c r="B18" s="14" t="n">
        <v>0.045</v>
      </c>
      <c r="C18" s="5" t="inlineStr">
        <is>
          <t>ILLUSTRATIVE ASSUMPTION</t>
        </is>
      </c>
      <c r="D18" s="2" t="inlineStr">
        <is>
          <t>ASEAN paints &amp; coatings market projected to grow from USD 7.78bn (2026) to USD 9.92bn (2031), an implied ~5.0% CAGR (ION Analytics article). Applied uniformly across countries as a simplifying assumption.</t>
        </is>
      </c>
    </row>
    <row r="19">
      <c r="A19" s="9" t="inlineStr">
        <is>
          <t>FY2025 growth (backward-implied, historical)</t>
        </is>
      </c>
      <c r="B19" s="14" t="n">
        <v>0.048</v>
      </c>
      <c r="C19" s="5" t="inlineStr">
        <is>
          <t>ILLUSTRATIVE ASSUMPTION</t>
        </is>
      </c>
      <c r="D19" s="2" t="inlineStr">
        <is>
          <t>ASEAN paints &amp; coatings market projected to grow from USD 7.78bn (2026) to USD 9.92bn (2031), an implied ~5.0% CAGR (ION Analytics article). Applied uniformly across countries as a simplifying assumption.</t>
        </is>
      </c>
    </row>
    <row r="20">
      <c r="A20" s="9" t="inlineStr">
        <is>
          <t>FY2026E growth</t>
        </is>
      </c>
      <c r="B20" s="14" t="n">
        <v>0.05</v>
      </c>
      <c r="C20" s="5" t="inlineStr">
        <is>
          <t>ILLUSTRATIVE ASSUMPTION</t>
        </is>
      </c>
      <c r="D20" s="2" t="inlineStr">
        <is>
          <t>ASEAN paints &amp; coatings market projected to grow from USD 7.78bn (2026) to USD 9.92bn (2031), an implied ~5.0% CAGR (ION Analytics article). Applied uniformly across countries as a simplifying assumption.</t>
        </is>
      </c>
    </row>
    <row r="21">
      <c r="A21" s="9" t="inlineStr">
        <is>
          <t>FY2027E growth</t>
        </is>
      </c>
      <c r="B21" s="14" t="n">
        <v>0.052</v>
      </c>
      <c r="C21" s="5" t="inlineStr">
        <is>
          <t>ILLUSTRATIVE ASSUMPTION</t>
        </is>
      </c>
      <c r="D21" s="2" t="inlineStr">
        <is>
          <t>ASEAN paints &amp; coatings market projected to grow from USD 7.78bn (2026) to USD 9.92bn (2031), an implied ~5.0% CAGR (ION Analytics article). Applied uniformly across countries as a simplifying assumption.</t>
        </is>
      </c>
    </row>
    <row r="22">
      <c r="A22" s="9" t="inlineStr">
        <is>
          <t>FY2028E growth</t>
        </is>
      </c>
      <c r="B22" s="14" t="n">
        <v>0.05</v>
      </c>
      <c r="C22" s="5" t="inlineStr">
        <is>
          <t>ILLUSTRATIVE ASSUMPTION</t>
        </is>
      </c>
      <c r="D22" s="2" t="inlineStr">
        <is>
          <t>ASEAN paints &amp; coatings market projected to grow from USD 7.78bn (2026) to USD 9.92bn (2031), an implied ~5.0% CAGR (ION Analytics article). Applied uniformly across countries as a simplifying assumption.</t>
        </is>
      </c>
    </row>
    <row r="23">
      <c r="A23" s="9" t="inlineStr">
        <is>
          <t>FY2029E growth</t>
        </is>
      </c>
      <c r="B23" s="14" t="n">
        <v>0.048</v>
      </c>
      <c r="C23" s="5" t="inlineStr">
        <is>
          <t>ILLUSTRATIVE ASSUMPTION</t>
        </is>
      </c>
      <c r="D23" s="2" t="inlineStr">
        <is>
          <t>ASEAN paints &amp; coatings market projected to grow from USD 7.78bn (2026) to USD 9.92bn (2031), an implied ~5.0% CAGR (ION Analytics article). Applied uniformly across countries as a simplifying assumption.</t>
        </is>
      </c>
    </row>
    <row r="24">
      <c r="A24" s="9" t="inlineStr">
        <is>
          <t>FY2030E growth</t>
        </is>
      </c>
      <c r="B24" s="14" t="n">
        <v>0.046</v>
      </c>
      <c r="C24" s="5" t="inlineStr">
        <is>
          <t>ILLUSTRATIVE ASSUMPTION</t>
        </is>
      </c>
      <c r="D24" s="2" t="inlineStr">
        <is>
          <t>ASEAN paints &amp; coatings market projected to grow from USD 7.78bn (2026) to USD 9.92bn (2031), an implied ~5.0% CAGR (ION Analytics article). Applied uniformly across countries as a simplifying assumption.</t>
        </is>
      </c>
    </row>
    <row r="26">
      <c r="A26" s="7" t="inlineStr">
        <is>
          <t>4. Margins (ILLUSTRATIVE — FY2024/FY2025 anchored to AkzoNobel Group Decorative Paints actual segment margin)</t>
        </is>
      </c>
      <c r="B26" s="8" t="n"/>
      <c r="C26" s="8" t="n"/>
      <c r="D26" s="8" t="n"/>
    </row>
    <row r="27">
      <c r="A27" s="9" t="inlineStr">
        <is>
          <t>Gross margin % (flat, all years)</t>
        </is>
      </c>
      <c r="B27" s="12" t="n">
        <v>0.45</v>
      </c>
      <c r="C27" s="5" t="inlineStr">
        <is>
          <t>ILLUSTRATIVE ASSUMPTION</t>
        </is>
      </c>
      <c r="D27" s="2" t="inlineStr">
        <is>
          <t>Typical decorative-paints industry gross margin range; no AkzoNobel SEA-specific COGS disclosure exists.</t>
        </is>
      </c>
    </row>
    <row r="28">
      <c r="A28" s="9" t="inlineStr">
        <is>
          <t>FY2023 EBITDA margin</t>
        </is>
      </c>
      <c r="B28" s="12" t="n">
        <v>0.13</v>
      </c>
      <c r="C28" s="5" t="inlineStr">
        <is>
          <t>ILLUSTRATIVE ASSUMPTION</t>
        </is>
      </c>
      <c r="D28" s="2" t="inlineStr">
        <is>
          <t>FY2023 estimated by reversing FY2024 margin trend. FY2026E+ ramps toward regional peer margins (Nippon Paint ~18%, Asian Paints ~19-21%) reflecting SEA's higher-growth market mix.</t>
        </is>
      </c>
    </row>
    <row r="29">
      <c r="A29" s="9" t="inlineStr">
        <is>
          <t>FY2024 EBITDA margin (= AkzoNobel Group Decorative actual)</t>
        </is>
      </c>
      <c r="B29" s="14" t="n">
        <v>0.142</v>
      </c>
      <c r="C29" s="5" t="inlineStr">
        <is>
          <t>PUBLIC FACT (Group-level proxy)</t>
        </is>
      </c>
      <c r="D29" s="2" t="inlineStr">
        <is>
          <t>AkzoNobel FY2024/FY2025 results releases report Decorative Paints (global segment) adjusted EBITDA margin of 14.2% (2024) and 15.8% (2025) — used here as a SEA proxy since no SEA-only figure is disclosed.</t>
        </is>
      </c>
    </row>
    <row r="30">
      <c r="A30" s="9" t="inlineStr">
        <is>
          <t>FY2025 EBITDA margin (= AkzoNobel Group Decorative actual)</t>
        </is>
      </c>
      <c r="B30" s="14" t="n">
        <v>0.158</v>
      </c>
      <c r="C30" s="5" t="inlineStr">
        <is>
          <t>PUBLIC FACT (Group-level proxy)</t>
        </is>
      </c>
      <c r="D30" s="2" t="inlineStr">
        <is>
          <t>AkzoNobel FY2024/FY2025 results releases report Decorative Paints (global segment) adjusted EBITDA margin of 14.2% (2024) and 15.8% (2025) — used here as a SEA proxy since no SEA-only figure is disclosed.</t>
        </is>
      </c>
    </row>
    <row r="31">
      <c r="A31" s="9" t="inlineStr">
        <is>
          <t>FY2026E EBITDA margin</t>
        </is>
      </c>
      <c r="B31" s="12" t="n">
        <v>0.165</v>
      </c>
      <c r="C31" s="5" t="inlineStr">
        <is>
          <t>ILLUSTRATIVE ASSUMPTION</t>
        </is>
      </c>
      <c r="D31" s="2" t="inlineStr">
        <is>
          <t>FY2023 estimated by reversing FY2024 margin trend. FY2026E+ ramps toward regional peer margins (Nippon Paint ~18%, Asian Paints ~19-21%) reflecting SEA's higher-growth market mix.</t>
        </is>
      </c>
    </row>
    <row r="32">
      <c r="A32" s="9" t="inlineStr">
        <is>
          <t>FY2027E EBITDA margin</t>
        </is>
      </c>
      <c r="B32" s="12" t="n">
        <v>0.17</v>
      </c>
      <c r="C32" s="5" t="inlineStr">
        <is>
          <t>ILLUSTRATIVE ASSUMPTION</t>
        </is>
      </c>
      <c r="D32" s="2" t="inlineStr">
        <is>
          <t>FY2023 estimated by reversing FY2024 margin trend. FY2026E+ ramps toward regional peer margins (Nippon Paint ~18%, Asian Paints ~19-21%) reflecting SEA's higher-growth market mix.</t>
        </is>
      </c>
    </row>
    <row r="33">
      <c r="A33" s="9" t="inlineStr">
        <is>
          <t>FY2028E EBITDA margin</t>
        </is>
      </c>
      <c r="B33" s="12" t="n">
        <v>0.175</v>
      </c>
      <c r="C33" s="5" t="inlineStr">
        <is>
          <t>ILLUSTRATIVE ASSUMPTION</t>
        </is>
      </c>
      <c r="D33" s="2" t="inlineStr">
        <is>
          <t>FY2023 estimated by reversing FY2024 margin trend. FY2026E+ ramps toward regional peer margins (Nippon Paint ~18%, Asian Paints ~19-21%) reflecting SEA's higher-growth market mix.</t>
        </is>
      </c>
    </row>
    <row r="34">
      <c r="A34" s="9" t="inlineStr">
        <is>
          <t>FY2029E EBITDA margin</t>
        </is>
      </c>
      <c r="B34" s="12" t="n">
        <v>0.178</v>
      </c>
      <c r="C34" s="5" t="inlineStr">
        <is>
          <t>ILLUSTRATIVE ASSUMPTION</t>
        </is>
      </c>
      <c r="D34" s="2" t="inlineStr">
        <is>
          <t>FY2023 estimated by reversing FY2024 margin trend. FY2026E+ ramps toward regional peer margins (Nippon Paint ~18%, Asian Paints ~19-21%) reflecting SEA's higher-growth market mix.</t>
        </is>
      </c>
    </row>
    <row r="35">
      <c r="A35" s="9" t="inlineStr">
        <is>
          <t>FY2030E EBITDA margin</t>
        </is>
      </c>
      <c r="B35" s="12" t="n">
        <v>0.18</v>
      </c>
      <c r="C35" s="5" t="inlineStr">
        <is>
          <t>ILLUSTRATIVE ASSUMPTION</t>
        </is>
      </c>
      <c r="D35" s="2" t="inlineStr">
        <is>
          <t>FY2023 estimated by reversing FY2024 margin trend. FY2026E+ ramps toward regional peer margins (Nippon Paint ~18%, Asian Paints ~19-21%) reflecting SEA's higher-growth market mix.</t>
        </is>
      </c>
    </row>
    <row r="37">
      <c r="A37" s="7" t="inlineStr">
        <is>
          <t>5. Carve-Out Cost Bridge (ILLUSTRATIVE)</t>
        </is>
      </c>
      <c r="B37" s="8" t="n"/>
      <c r="C37" s="8" t="n"/>
      <c r="D37" s="8" t="n"/>
    </row>
    <row r="38">
      <c r="A38" s="9" t="inlineStr">
        <is>
          <t>TSA cost % of revenue — FY2023</t>
        </is>
      </c>
      <c r="B38" s="14" t="n">
        <v>0</v>
      </c>
      <c r="C38" s="5" t="inlineStr">
        <is>
          <t>ILLUSTRATIVE ASSUMPTION</t>
        </is>
      </c>
      <c r="D38"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39">
      <c r="A39" s="9" t="inlineStr">
        <is>
          <t>TSA cost % of revenue — FY2024</t>
        </is>
      </c>
      <c r="B39" s="14" t="n">
        <v>0</v>
      </c>
      <c r="C39" s="5" t="inlineStr">
        <is>
          <t>ILLUSTRATIVE ASSUMPTION</t>
        </is>
      </c>
      <c r="D39"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0">
      <c r="A40" s="9" t="inlineStr">
        <is>
          <t>TSA cost % of revenue — FY2025</t>
        </is>
      </c>
      <c r="B40" s="14" t="n">
        <v>0</v>
      </c>
      <c r="C40" s="5" t="inlineStr">
        <is>
          <t>ILLUSTRATIVE ASSUMPTION</t>
        </is>
      </c>
      <c r="D40"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1">
      <c r="A41" s="9" t="inlineStr">
        <is>
          <t>TSA cost % of revenue — FY2026E</t>
        </is>
      </c>
      <c r="B41" s="14" t="n">
        <v>0.03</v>
      </c>
      <c r="C41" s="5" t="inlineStr">
        <is>
          <t>ILLUSTRATIVE ASSUMPTION</t>
        </is>
      </c>
      <c r="D41"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2">
      <c r="A42" s="9" t="inlineStr">
        <is>
          <t>TSA cost % of revenue — FY2027E</t>
        </is>
      </c>
      <c r="B42" s="14" t="n">
        <v>0.015</v>
      </c>
      <c r="C42" s="5" t="inlineStr">
        <is>
          <t>ILLUSTRATIVE ASSUMPTION</t>
        </is>
      </c>
      <c r="D42"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3">
      <c r="A43" s="9" t="inlineStr">
        <is>
          <t>TSA cost % of revenue — FY2028E</t>
        </is>
      </c>
      <c r="B43" s="14" t="n">
        <v>0</v>
      </c>
      <c r="C43" s="5" t="inlineStr">
        <is>
          <t>ILLUSTRATIVE ASSUMPTION</t>
        </is>
      </c>
      <c r="D43"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4">
      <c r="A44" s="9" t="inlineStr">
        <is>
          <t>TSA cost % of revenue — FY2029E</t>
        </is>
      </c>
      <c r="B44" s="14" t="n">
        <v>0</v>
      </c>
      <c r="C44" s="5" t="inlineStr">
        <is>
          <t>ILLUSTRATIVE ASSUMPTION</t>
        </is>
      </c>
      <c r="D44"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5">
      <c r="A45" s="9" t="inlineStr">
        <is>
          <t>TSA cost % of revenue — FY2030E</t>
        </is>
      </c>
      <c r="B45" s="14" t="n">
        <v>0</v>
      </c>
      <c r="C45" s="5" t="inlineStr">
        <is>
          <t>ILLUSTRATIVE ASSUMPTION</t>
        </is>
      </c>
      <c r="D45" s="2" t="inlineStr">
        <is>
          <t>Transition Services Agreement cost assumed at 3.0% of revenue in first full carve-out year (FY2026E), halving in FY2027E, and eliminated from FY2028E as standalone systems (IT, finance, HR, procurement) are built out. No AkzoNobel-specific TSA terms are publicly disclosed.</t>
        </is>
      </c>
    </row>
    <row r="47">
      <c r="A47" s="9" t="inlineStr">
        <is>
          <t>Stranded / standalone replacement cost % of revenue — FY2023</t>
        </is>
      </c>
      <c r="B47" s="14" t="n">
        <v>0</v>
      </c>
      <c r="C47" s="5" t="inlineStr">
        <is>
          <t>ILLUSTRATIVE ASSUMPTION</t>
        </is>
      </c>
      <c r="D47" s="2" t="inlineStr">
        <is>
          <t>Illustrative cost of replacing parent shared-service capacity (regional finance/IT/procurement) not captured in the standalone opex build — assumed 1.0% of revenue in FY2026E-FY2027E, then nil.</t>
        </is>
      </c>
    </row>
    <row r="48">
      <c r="A48" s="9" t="inlineStr">
        <is>
          <t>Stranded / standalone replacement cost % of revenue — FY2024</t>
        </is>
      </c>
      <c r="B48" s="14" t="n">
        <v>0</v>
      </c>
      <c r="C48" s="5" t="inlineStr">
        <is>
          <t>ILLUSTRATIVE ASSUMPTION</t>
        </is>
      </c>
      <c r="D48" s="2" t="inlineStr">
        <is>
          <t>Illustrative cost of replacing parent shared-service capacity (regional finance/IT/procurement) not captured in the standalone opex build — assumed 1.0% of revenue in FY2026E-FY2027E, then nil.</t>
        </is>
      </c>
    </row>
    <row r="49">
      <c r="A49" s="9" t="inlineStr">
        <is>
          <t>Stranded / standalone replacement cost % of revenue — FY2025</t>
        </is>
      </c>
      <c r="B49" s="14" t="n">
        <v>0</v>
      </c>
      <c r="C49" s="5" t="inlineStr">
        <is>
          <t>ILLUSTRATIVE ASSUMPTION</t>
        </is>
      </c>
      <c r="D49" s="2" t="inlineStr">
        <is>
          <t>Illustrative cost of replacing parent shared-service capacity (regional finance/IT/procurement) not captured in the standalone opex build — assumed 1.0% of revenue in FY2026E-FY2027E, then nil.</t>
        </is>
      </c>
    </row>
    <row r="50">
      <c r="A50" s="9" t="inlineStr">
        <is>
          <t>Stranded / standalone replacement cost % of revenue — FY2026E</t>
        </is>
      </c>
      <c r="B50" s="14" t="n">
        <v>0.01</v>
      </c>
      <c r="C50" s="5" t="inlineStr">
        <is>
          <t>ILLUSTRATIVE ASSUMPTION</t>
        </is>
      </c>
      <c r="D50" s="2" t="inlineStr">
        <is>
          <t>Illustrative cost of replacing parent shared-service capacity (regional finance/IT/procurement) not captured in the standalone opex build — assumed 1.0% of revenue in FY2026E-FY2027E, then nil.</t>
        </is>
      </c>
    </row>
    <row r="51">
      <c r="A51" s="9" t="inlineStr">
        <is>
          <t>Stranded / standalone replacement cost % of revenue — FY2027E</t>
        </is>
      </c>
      <c r="B51" s="14" t="n">
        <v>0.01</v>
      </c>
      <c r="C51" s="5" t="inlineStr">
        <is>
          <t>ILLUSTRATIVE ASSUMPTION</t>
        </is>
      </c>
      <c r="D51" s="2" t="inlineStr">
        <is>
          <t>Illustrative cost of replacing parent shared-service capacity (regional finance/IT/procurement) not captured in the standalone opex build — assumed 1.0% of revenue in FY2026E-FY2027E, then nil.</t>
        </is>
      </c>
    </row>
    <row r="52">
      <c r="A52" s="9" t="inlineStr">
        <is>
          <t>Stranded / standalone replacement cost % of revenue — FY2028E</t>
        </is>
      </c>
      <c r="B52" s="14" t="n">
        <v>0</v>
      </c>
      <c r="C52" s="5" t="inlineStr">
        <is>
          <t>ILLUSTRATIVE ASSUMPTION</t>
        </is>
      </c>
      <c r="D52" s="2" t="inlineStr">
        <is>
          <t>Illustrative cost of replacing parent shared-service capacity (regional finance/IT/procurement) not captured in the standalone opex build — assumed 1.0% of revenue in FY2026E-FY2027E, then nil.</t>
        </is>
      </c>
    </row>
    <row r="53">
      <c r="A53" s="9" t="inlineStr">
        <is>
          <t>Stranded / standalone replacement cost % of revenue — FY2029E</t>
        </is>
      </c>
      <c r="B53" s="14" t="n">
        <v>0</v>
      </c>
      <c r="C53" s="5" t="inlineStr">
        <is>
          <t>ILLUSTRATIVE ASSUMPTION</t>
        </is>
      </c>
      <c r="D53" s="2" t="inlineStr">
        <is>
          <t>Illustrative cost of replacing parent shared-service capacity (regional finance/IT/procurement) not captured in the standalone opex build — assumed 1.0% of revenue in FY2026E-FY2027E, then nil.</t>
        </is>
      </c>
    </row>
    <row r="54">
      <c r="A54" s="9" t="inlineStr">
        <is>
          <t>Stranded / standalone replacement cost % of revenue — FY2030E</t>
        </is>
      </c>
      <c r="B54" s="14" t="n">
        <v>0</v>
      </c>
      <c r="C54" s="5" t="inlineStr">
        <is>
          <t>ILLUSTRATIVE ASSUMPTION</t>
        </is>
      </c>
      <c r="D54" s="2" t="inlineStr">
        <is>
          <t>Illustrative cost of replacing parent shared-service capacity (regional finance/IT/procurement) not captured in the standalone opex build — assumed 1.0% of revenue in FY2026E-FY2027E, then nil.</t>
        </is>
      </c>
    </row>
    <row r="56">
      <c r="A56" s="9" t="inlineStr">
        <is>
          <t>One-time separation cost, FY2026E only (EUR mm)</t>
        </is>
      </c>
      <c r="B56" s="15" t="n">
        <v>8</v>
      </c>
      <c r="C56" s="5" t="inlineStr">
        <is>
          <t>ILLUSTRATIVE ASSUMPTION</t>
        </is>
      </c>
      <c r="D56" s="2" t="inlineStr">
        <is>
          <t>Illustrative one-time cost of legal entity separation, systems carve-out and rebranding, consistent with typical mid-market carve-out separation cost benchmarks (2-3% of revenue in year 1). No disclosed figure exists.</t>
        </is>
      </c>
    </row>
    <row r="58">
      <c r="A58" s="7" t="inlineStr">
        <is>
          <t>6. D&amp;A and Capex (ILLUSTRATIVE)</t>
        </is>
      </c>
      <c r="B58" s="8" t="n"/>
      <c r="C58" s="8" t="n"/>
      <c r="D58" s="8" t="n"/>
    </row>
    <row r="59">
      <c r="A59" s="9" t="inlineStr">
        <is>
          <t>D&amp;A % of revenue (flat, all years)</t>
        </is>
      </c>
      <c r="B59" s="12" t="n">
        <v>0.025</v>
      </c>
      <c r="C59" s="5" t="inlineStr">
        <is>
          <t>ILLUSTRATIVE ASSUMPTION</t>
        </is>
      </c>
      <c r="D59" s="2" t="inlineStr">
        <is>
          <t>Typical capital-light paints manufacturing/blending benchmark; no AkzoNobel SEA asset-level disclosure exists.</t>
        </is>
      </c>
    </row>
    <row r="60">
      <c r="A60" s="9" t="inlineStr">
        <is>
          <t>Capex % of revenue — FY2023</t>
        </is>
      </c>
      <c r="B60" s="14" t="n">
        <v>0.03</v>
      </c>
      <c r="C60" s="5" t="inlineStr">
        <is>
          <t>ILLUSTRATIVE ASSUMPTION</t>
        </is>
      </c>
      <c r="D60" s="2" t="inlineStr">
        <is>
          <t>Base capex at 3.0% of revenue (paints-industry maintenance capex benchmark); elevated to 3.5% in FY2026E-FY2027E for illustrative separation-related capex (standalone ERP/systems, facility branding).</t>
        </is>
      </c>
    </row>
    <row r="61">
      <c r="A61" s="9" t="inlineStr">
        <is>
          <t>Capex % of revenue — FY2024</t>
        </is>
      </c>
      <c r="B61" s="14" t="n">
        <v>0.03</v>
      </c>
      <c r="C61" s="5" t="inlineStr">
        <is>
          <t>ILLUSTRATIVE ASSUMPTION</t>
        </is>
      </c>
      <c r="D61" s="2" t="inlineStr">
        <is>
          <t>Base capex at 3.0% of revenue (paints-industry maintenance capex benchmark); elevated to 3.5% in FY2026E-FY2027E for illustrative separation-related capex (standalone ERP/systems, facility branding).</t>
        </is>
      </c>
    </row>
    <row r="62">
      <c r="A62" s="9" t="inlineStr">
        <is>
          <t>Capex % of revenue — FY2025</t>
        </is>
      </c>
      <c r="B62" s="14" t="n">
        <v>0.03</v>
      </c>
      <c r="C62" s="5" t="inlineStr">
        <is>
          <t>ILLUSTRATIVE ASSUMPTION</t>
        </is>
      </c>
      <c r="D62" s="2" t="inlineStr">
        <is>
          <t>Base capex at 3.0% of revenue (paints-industry maintenance capex benchmark); elevated to 3.5% in FY2026E-FY2027E for illustrative separation-related capex (standalone ERP/systems, facility branding).</t>
        </is>
      </c>
    </row>
    <row r="63">
      <c r="A63" s="9" t="inlineStr">
        <is>
          <t>Capex % of revenue — FY2026E</t>
        </is>
      </c>
      <c r="B63" s="14" t="n">
        <v>0.035</v>
      </c>
      <c r="C63" s="5" t="inlineStr">
        <is>
          <t>ILLUSTRATIVE ASSUMPTION</t>
        </is>
      </c>
      <c r="D63" s="2" t="inlineStr">
        <is>
          <t>Base capex at 3.0% of revenue (paints-industry maintenance capex benchmark); elevated to 3.5% in FY2026E-FY2027E for illustrative separation-related capex (standalone ERP/systems, facility branding).</t>
        </is>
      </c>
    </row>
    <row r="64">
      <c r="A64" s="9" t="inlineStr">
        <is>
          <t>Capex % of revenue — FY2027E</t>
        </is>
      </c>
      <c r="B64" s="14" t="n">
        <v>0.035</v>
      </c>
      <c r="C64" s="5" t="inlineStr">
        <is>
          <t>ILLUSTRATIVE ASSUMPTION</t>
        </is>
      </c>
      <c r="D64" s="2" t="inlineStr">
        <is>
          <t>Base capex at 3.0% of revenue (paints-industry maintenance capex benchmark); elevated to 3.5% in FY2026E-FY2027E for illustrative separation-related capex (standalone ERP/systems, facility branding).</t>
        </is>
      </c>
    </row>
    <row r="65">
      <c r="A65" s="9" t="inlineStr">
        <is>
          <t>Capex % of revenue — FY2028E</t>
        </is>
      </c>
      <c r="B65" s="14" t="n">
        <v>0.03</v>
      </c>
      <c r="C65" s="5" t="inlineStr">
        <is>
          <t>ILLUSTRATIVE ASSUMPTION</t>
        </is>
      </c>
      <c r="D65" s="2" t="inlineStr">
        <is>
          <t>Base capex at 3.0% of revenue (paints-industry maintenance capex benchmark); elevated to 3.5% in FY2026E-FY2027E for illustrative separation-related capex (standalone ERP/systems, facility branding).</t>
        </is>
      </c>
    </row>
    <row r="66">
      <c r="A66" s="9" t="inlineStr">
        <is>
          <t>Capex % of revenue — FY2029E</t>
        </is>
      </c>
      <c r="B66" s="14" t="n">
        <v>0.03</v>
      </c>
      <c r="C66" s="5" t="inlineStr">
        <is>
          <t>ILLUSTRATIVE ASSUMPTION</t>
        </is>
      </c>
      <c r="D66" s="2" t="inlineStr">
        <is>
          <t>Base capex at 3.0% of revenue (paints-industry maintenance capex benchmark); elevated to 3.5% in FY2026E-FY2027E for illustrative separation-related capex (standalone ERP/systems, facility branding).</t>
        </is>
      </c>
    </row>
    <row r="67">
      <c r="A67" s="9" t="inlineStr">
        <is>
          <t>Capex % of revenue — FY2030E</t>
        </is>
      </c>
      <c r="B67" s="14" t="n">
        <v>0.03</v>
      </c>
      <c r="C67" s="5" t="inlineStr">
        <is>
          <t>ILLUSTRATIVE ASSUMPTION</t>
        </is>
      </c>
      <c r="D67" s="2" t="inlineStr">
        <is>
          <t>Base capex at 3.0% of revenue (paints-industry maintenance capex benchmark); elevated to 3.5% in FY2026E-FY2027E for illustrative separation-related capex (standalone ERP/systems, facility branding).</t>
        </is>
      </c>
    </row>
    <row r="69">
      <c r="A69" s="7" t="inlineStr">
        <is>
          <t>7. Working Capital (ILLUSTRATIVE — industry-typical paints distribution terms)</t>
        </is>
      </c>
      <c r="B69" s="8" t="n"/>
      <c r="C69" s="8" t="n"/>
      <c r="D69" s="8" t="n"/>
    </row>
    <row r="70">
      <c r="A70" s="9" t="inlineStr">
        <is>
          <t>Days Sales Outstanding (DSO)</t>
        </is>
      </c>
      <c r="B70" s="16" t="n">
        <v>45</v>
      </c>
      <c r="C70" s="5" t="inlineStr">
        <is>
          <t>ILLUSTRATIVE ASSUMPTION</t>
        </is>
      </c>
      <c r="D70" s="2" t="inlineStr">
        <is>
          <t>Typical trade-distribution DSO for regional paints businesses selling through dealer networks.</t>
        </is>
      </c>
    </row>
    <row r="71">
      <c r="A71" s="9" t="inlineStr">
        <is>
          <t>Days Inventory Outstanding (DIO)</t>
        </is>
      </c>
      <c r="B71" s="16" t="n">
        <v>60</v>
      </c>
      <c r="C71" s="5" t="inlineStr">
        <is>
          <t>ILLUSTRATIVE ASSUMPTION</t>
        </is>
      </c>
      <c r="D71" s="2" t="inlineStr">
        <is>
          <t>Typical finished-goods + raw-material inventory cover for a regional paints manufacturer.</t>
        </is>
      </c>
    </row>
    <row r="72">
      <c r="A72" s="9" t="inlineStr">
        <is>
          <t>Days Payable Outstanding (DPO)</t>
        </is>
      </c>
      <c r="B72" s="16" t="n">
        <v>45</v>
      </c>
      <c r="C72" s="5" t="inlineStr">
        <is>
          <t>ILLUSTRATIVE ASSUMPTION</t>
        </is>
      </c>
      <c r="D72" s="2" t="inlineStr">
        <is>
          <t>Typical supplier payment terms for resin/pigment/packaging inputs in SEA.</t>
        </is>
      </c>
    </row>
    <row r="74">
      <c r="A74" s="7" t="inlineStr">
        <is>
          <t>8. Tax (statutory rates = PUBLIC FACT; blended rate = ANALYST CALCULATION)</t>
        </is>
      </c>
      <c r="B74" s="8" t="n"/>
      <c r="C74" s="8" t="n"/>
      <c r="D74" s="8" t="n"/>
    </row>
    <row r="75">
      <c r="A75" s="9" t="inlineStr">
        <is>
          <t>Indonesia statutory CIT rate</t>
        </is>
      </c>
      <c r="B75" s="14" t="n">
        <v>0.22</v>
      </c>
      <c r="C75" s="5" t="inlineStr">
        <is>
          <t>PUBLIC FACT</t>
        </is>
      </c>
      <c r="D75" s="2" t="inlineStr">
        <is>
          <t>OECD Corporate Tax Statistics 2026 / Trading Economics, 2026.</t>
        </is>
      </c>
    </row>
    <row r="76">
      <c r="A76" s="9" t="inlineStr">
        <is>
          <t>Thailand statutory CIT rate</t>
        </is>
      </c>
      <c r="B76" s="14" t="n">
        <v>0.2</v>
      </c>
      <c r="C76" s="5" t="inlineStr">
        <is>
          <t>PUBLIC FACT</t>
        </is>
      </c>
      <c r="D76" s="2" t="inlineStr">
        <is>
          <t>Thaicore / OECD Corporate Tax Statistics 2026.</t>
        </is>
      </c>
    </row>
    <row r="77">
      <c r="A77" s="9" t="inlineStr">
        <is>
          <t>Malaysia statutory CIT rate</t>
        </is>
      </c>
      <c r="B77" s="14" t="n">
        <v>0.24</v>
      </c>
      <c r="C77" s="5" t="inlineStr">
        <is>
          <t>PUBLIC FACT</t>
        </is>
      </c>
      <c r="D77" s="2" t="inlineStr">
        <is>
          <t>Trading Economics / OECD Corporate Tax Statistics 2026.</t>
        </is>
      </c>
    </row>
    <row r="78">
      <c r="A78" s="9" t="inlineStr">
        <is>
          <t>Vietnam statutory CIT rate</t>
        </is>
      </c>
      <c r="B78" s="14" t="n">
        <v>0.2</v>
      </c>
      <c r="C78" s="5" t="inlineStr">
        <is>
          <t>PUBLIC FACT</t>
        </is>
      </c>
      <c r="D78" s="2" t="inlineStr">
        <is>
          <t>Trading Economics / OECD Corporate Tax Statistics 2026.</t>
        </is>
      </c>
    </row>
    <row r="79">
      <c r="A79" s="17" t="inlineStr">
        <is>
          <t>Blended effective tax rate (revenue-weighted)</t>
        </is>
      </c>
      <c r="B79" s="18">
        <f>B11*B75+B12*B76+B13*B78+B14*B77</f>
        <v/>
      </c>
      <c r="C79" s="5" t="inlineStr">
        <is>
          <t>ANALYST CALCULATION</t>
        </is>
      </c>
      <c r="D79" s="2" t="inlineStr">
        <is>
          <t>Revenue-weighted average of the four statutory rates above using Section 2 country splits. Does NOT reflect any AkzoNobel-specific incentives, tax holidays, or transfer-pricing structure, which are not publicly disclosed.</t>
        </is>
      </c>
    </row>
    <row r="81">
      <c r="A81" s="7" t="inlineStr">
        <is>
          <t>9. WACC (Rf/ERP/CRP/cost of debt/leverage ILLUSTRATIVE; beta ANALYST CALCULATION from live peer data, updated 2026-09-18)</t>
        </is>
      </c>
      <c r="B81" s="8" t="n"/>
      <c r="C81" s="8" t="n"/>
      <c r="D81" s="8" t="n"/>
    </row>
    <row r="82">
      <c r="A82" s="9" t="inlineStr">
        <is>
          <t>Risk-free rate</t>
        </is>
      </c>
      <c r="B82" s="12" t="n">
        <v>0.04</v>
      </c>
      <c r="C82" s="5" t="inlineStr">
        <is>
          <t>ILLUSTRATIVE ASSUMPTION</t>
        </is>
      </c>
      <c r="D82" s="2" t="inlineStr">
        <is>
          <t>Illustrative USD/EUR-blended long-term risk-free proxy.</t>
        </is>
      </c>
    </row>
    <row r="83">
      <c r="A83" s="9" t="inlineStr">
        <is>
          <t>Equity risk premium</t>
        </is>
      </c>
      <c r="B83" s="12" t="n">
        <v>0.055</v>
      </c>
      <c r="C83" s="5" t="inlineStr">
        <is>
          <t>ILLUSTRATIVE ASSUMPTION</t>
        </is>
      </c>
      <c r="D83" s="2" t="inlineStr">
        <is>
          <t>Standard long-run global equity risk premium assumption.</t>
        </is>
      </c>
    </row>
    <row r="84">
      <c r="A84" s="9" t="inlineStr">
        <is>
          <t>Relevered beta (peer-based)</t>
        </is>
      </c>
      <c r="B84" s="19" t="n">
        <v>0.821</v>
      </c>
      <c r="C84" s="5" t="inlineStr">
        <is>
          <t>ANALYST CALCULATION</t>
        </is>
      </c>
      <c r="D84" s="2" t="inlineStr">
        <is>
          <t>Median 5-year beta of the 5 trading comps with a reported beta (Sherwin-Williams 1.089, PPG 1.063, Nippon Paint 0.821, Asian Paints 0.282, Berger Paints 0.441; Kansai Paint has no beta reported) — pulled live via Yahoo Finance (yfinance), 2026-09-18. Updated from the original 1.00 illustrative placeholder once real peer market data became available. Not independently re-levered from peer capital structures.</t>
        </is>
      </c>
    </row>
    <row r="85">
      <c r="A85" s="9" t="inlineStr">
        <is>
          <t>SEA country risk premium (blended)</t>
        </is>
      </c>
      <c r="B85" s="12" t="n">
        <v>0.015</v>
      </c>
      <c r="C85" s="5" t="inlineStr">
        <is>
          <t>ILLUSTRATIVE ASSUMPTION</t>
        </is>
      </c>
      <c r="D85" s="2" t="inlineStr">
        <is>
          <t>Illustrative blended country risk premium for Indonesia/Thailand/Malaysia/Vietnam exposure versus a developed-market base rate.</t>
        </is>
      </c>
    </row>
    <row r="86">
      <c r="A86" s="17" t="inlineStr">
        <is>
          <t>Cost of equity</t>
        </is>
      </c>
      <c r="B86" s="18">
        <f>B82+B84*B83+B85</f>
        <v/>
      </c>
      <c r="C86" s="5" t="inlineStr">
        <is>
          <t>ANALYST CALCULATION</t>
        </is>
      </c>
    </row>
    <row r="87">
      <c r="A87" s="9" t="inlineStr">
        <is>
          <t>Pre-tax cost of debt</t>
        </is>
      </c>
      <c r="B87" s="12" t="n">
        <v>0.055</v>
      </c>
      <c r="C87" s="5" t="inlineStr">
        <is>
          <t>ILLUSTRATIVE ASSUMPTION</t>
        </is>
      </c>
      <c r="D87" s="2" t="inlineStr">
        <is>
          <t>Illustrative regional-market borrowing rate for a mid-cap carve-out.</t>
        </is>
      </c>
    </row>
    <row r="88">
      <c r="A88" s="17" t="inlineStr">
        <is>
          <t>After-tax cost of debt</t>
        </is>
      </c>
      <c r="B88" s="18">
        <f>B87*(1-B79)</f>
        <v/>
      </c>
      <c r="C88" s="5" t="inlineStr">
        <is>
          <t>ANALYST CALCULATION</t>
        </is>
      </c>
    </row>
    <row r="89">
      <c r="A89" s="9" t="inlineStr">
        <is>
          <t>Target Debt / (Debt + Equity)</t>
        </is>
      </c>
      <c r="B89" s="12" t="n">
        <v>0.2</v>
      </c>
      <c r="C89" s="5" t="inlineStr">
        <is>
          <t>ILLUSTRATIVE ASSUMPTION</t>
        </is>
      </c>
      <c r="D89" s="2" t="inlineStr">
        <is>
          <t>Illustrative conservative carve-out capital structure.</t>
        </is>
      </c>
    </row>
    <row r="90">
      <c r="A90" s="17" t="inlineStr">
        <is>
          <t>WACC</t>
        </is>
      </c>
      <c r="B90" s="20">
        <f>B88*B89+B86*(1-B89)</f>
        <v/>
      </c>
      <c r="C90" s="5" t="inlineStr">
        <is>
          <t>ANALYST CALCULATION</t>
        </is>
      </c>
    </row>
    <row r="92">
      <c r="A92" s="9" t="inlineStr">
        <is>
          <t>Terminal growth rate</t>
        </is>
      </c>
      <c r="B92" s="12" t="n">
        <v>0.03</v>
      </c>
      <c r="C92" s="5" t="inlineStr">
        <is>
          <t>ILLUSTRATIVE ASSUMPTION</t>
        </is>
      </c>
      <c r="D92" s="2" t="inlineStr">
        <is>
          <t>Illustrative long-run nominal GDP/inflation blend for Indonesia/Thailand/Malaysia/Vietnam.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Revenue Build — SEA Decorative Paints Carve-Out</t>
        </is>
      </c>
    </row>
    <row r="2">
      <c r="A2" s="2" t="inlineStr">
        <is>
          <t>All figures EUR mm unless noted. FY2023-FY2024 are back-solved from the FY2025 public anchor (see README) — not observed actuals.</t>
        </is>
      </c>
    </row>
    <row r="4">
      <c r="A4" s="5" t="inlineStr">
        <is>
          <t>(EUR mm)</t>
        </is>
      </c>
      <c r="B4" s="21" t="inlineStr">
        <is>
          <t>FY2023</t>
        </is>
      </c>
      <c r="C4" s="21" t="inlineStr">
        <is>
          <t>FY2024</t>
        </is>
      </c>
      <c r="D4" s="21" t="inlineStr">
        <is>
          <t>FY2025</t>
        </is>
      </c>
      <c r="E4" s="21" t="inlineStr">
        <is>
          <t>FY2026E</t>
        </is>
      </c>
      <c r="F4" s="21" t="inlineStr">
        <is>
          <t>FY2027E</t>
        </is>
      </c>
      <c r="G4" s="21" t="inlineStr">
        <is>
          <t>FY2028E</t>
        </is>
      </c>
      <c r="H4" s="21" t="inlineStr">
        <is>
          <t>FY2029E</t>
        </is>
      </c>
      <c r="I4" s="21" t="inlineStr">
        <is>
          <t>FY2030E</t>
        </is>
      </c>
    </row>
    <row r="5">
      <c r="A5" s="17" t="inlineStr">
        <is>
          <t>Total SEA Decorative Revenue</t>
        </is>
      </c>
      <c r="B5" s="22">
        <f>C5/(1+Assumptions!$B$18)</f>
        <v/>
      </c>
      <c r="C5" s="22">
        <f>D5/(1+Assumptions!$B$19)</f>
        <v/>
      </c>
      <c r="D5" s="22">
        <f>Assumptions!$B$7</f>
        <v/>
      </c>
      <c r="E5" s="22">
        <f>D5*(1+Assumptions!$B$20)</f>
        <v/>
      </c>
      <c r="F5" s="22">
        <f>E5*(1+Assumptions!$B$21)</f>
        <v/>
      </c>
      <c r="G5" s="22">
        <f>F5*(1+Assumptions!$B$22)</f>
        <v/>
      </c>
      <c r="H5" s="22">
        <f>G5*(1+Assumptions!$B$23)</f>
        <v/>
      </c>
      <c r="I5" s="22">
        <f>H5*(1+Assumptions!$B$24)</f>
        <v/>
      </c>
    </row>
    <row r="6">
      <c r="A6" s="9" t="inlineStr">
        <is>
          <t xml:space="preserve">  Revenue growth % YoY</t>
        </is>
      </c>
      <c r="C6" s="13">
        <f>C5/B5-1</f>
        <v/>
      </c>
      <c r="D6" s="13">
        <f>D5/C5-1</f>
        <v/>
      </c>
      <c r="E6" s="13">
        <f>E5/D5-1</f>
        <v/>
      </c>
      <c r="F6" s="13">
        <f>F5/E5-1</f>
        <v/>
      </c>
      <c r="G6" s="13">
        <f>G5/F5-1</f>
        <v/>
      </c>
      <c r="H6" s="13">
        <f>H5/G5-1</f>
        <v/>
      </c>
      <c r="I6" s="13">
        <f>I5/H5-1</f>
        <v/>
      </c>
    </row>
    <row r="8">
      <c r="A8" s="9" t="inlineStr">
        <is>
          <t>Indonesia</t>
        </is>
      </c>
      <c r="B8" s="23">
        <f>B5*Assumptions!$B$11</f>
        <v/>
      </c>
      <c r="C8" s="23">
        <f>C5*Assumptions!$B$11</f>
        <v/>
      </c>
      <c r="D8" s="23">
        <f>D5*Assumptions!$B$11</f>
        <v/>
      </c>
      <c r="E8" s="23">
        <f>E5*Assumptions!$B$11</f>
        <v/>
      </c>
      <c r="F8" s="23">
        <f>F5*Assumptions!$B$11</f>
        <v/>
      </c>
      <c r="G8" s="23">
        <f>G5*Assumptions!$B$11</f>
        <v/>
      </c>
      <c r="H8" s="23">
        <f>H5*Assumptions!$B$11</f>
        <v/>
      </c>
      <c r="I8" s="23">
        <f>I5*Assumptions!$B$11</f>
        <v/>
      </c>
    </row>
    <row r="9">
      <c r="A9" s="9" t="inlineStr">
        <is>
          <t>Thailand</t>
        </is>
      </c>
      <c r="B9" s="23">
        <f>B5*Assumptions!$B$12</f>
        <v/>
      </c>
      <c r="C9" s="23">
        <f>C5*Assumptions!$B$12</f>
        <v/>
      </c>
      <c r="D9" s="23">
        <f>D5*Assumptions!$B$12</f>
        <v/>
      </c>
      <c r="E9" s="23">
        <f>E5*Assumptions!$B$12</f>
        <v/>
      </c>
      <c r="F9" s="23">
        <f>F5*Assumptions!$B$12</f>
        <v/>
      </c>
      <c r="G9" s="23">
        <f>G5*Assumptions!$B$12</f>
        <v/>
      </c>
      <c r="H9" s="23">
        <f>H5*Assumptions!$B$12</f>
        <v/>
      </c>
      <c r="I9" s="23">
        <f>I5*Assumptions!$B$12</f>
        <v/>
      </c>
    </row>
    <row r="10">
      <c r="A10" s="9" t="inlineStr">
        <is>
          <t>Vietnam</t>
        </is>
      </c>
      <c r="B10" s="23">
        <f>B5*Assumptions!$B$13</f>
        <v/>
      </c>
      <c r="C10" s="23">
        <f>C5*Assumptions!$B$13</f>
        <v/>
      </c>
      <c r="D10" s="23">
        <f>D5*Assumptions!$B$13</f>
        <v/>
      </c>
      <c r="E10" s="23">
        <f>E5*Assumptions!$B$13</f>
        <v/>
      </c>
      <c r="F10" s="23">
        <f>F5*Assumptions!$B$13</f>
        <v/>
      </c>
      <c r="G10" s="23">
        <f>G5*Assumptions!$B$13</f>
        <v/>
      </c>
      <c r="H10" s="23">
        <f>H5*Assumptions!$B$13</f>
        <v/>
      </c>
      <c r="I10" s="23">
        <f>I5*Assumptions!$B$13</f>
        <v/>
      </c>
    </row>
    <row r="11">
      <c r="A11" s="9" t="inlineStr">
        <is>
          <t>Malaysia</t>
        </is>
      </c>
      <c r="B11" s="23">
        <f>B5*Assumptions!$B$14</f>
        <v/>
      </c>
      <c r="C11" s="23">
        <f>C5*Assumptions!$B$14</f>
        <v/>
      </c>
      <c r="D11" s="23">
        <f>D5*Assumptions!$B$14</f>
        <v/>
      </c>
      <c r="E11" s="23">
        <f>E5*Assumptions!$B$14</f>
        <v/>
      </c>
      <c r="F11" s="23">
        <f>F5*Assumptions!$B$14</f>
        <v/>
      </c>
      <c r="G11" s="23">
        <f>G5*Assumptions!$B$14</f>
        <v/>
      </c>
      <c r="H11" s="23">
        <f>H5*Assumptions!$B$14</f>
        <v/>
      </c>
      <c r="I11" s="23">
        <f>I5*Assumptions!$B$14</f>
        <v/>
      </c>
    </row>
    <row r="12">
      <c r="A12" s="17" t="inlineStr">
        <is>
          <t>Check: sum of countries = Total</t>
        </is>
      </c>
      <c r="B12" s="24">
        <f>B8+B9+B10+B11-B5</f>
        <v/>
      </c>
      <c r="C12" s="24">
        <f>C8+C9+C10+C11-C5</f>
        <v/>
      </c>
      <c r="D12" s="24">
        <f>D8+D9+D10+D11-D5</f>
        <v/>
      </c>
      <c r="E12" s="24">
        <f>E8+E9+E10+E11-E5</f>
        <v/>
      </c>
      <c r="F12" s="24">
        <f>F8+F9+F10+F11-F5</f>
        <v/>
      </c>
      <c r="G12" s="24">
        <f>G8+G9+G10+G11-G5</f>
        <v/>
      </c>
      <c r="H12" s="24">
        <f>H8+H9+H10+H11-H5</f>
        <v/>
      </c>
      <c r="I12" s="24">
        <f>I8+I9+I10+I11-I5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Working Capital Schedule</t>
        </is>
      </c>
    </row>
    <row r="2">
      <c r="A2" s="5" t="inlineStr">
        <is>
          <t>COGS = Revenue x (1 - Gross Margin %). Days assumptions per Assumptions tab, Section 7 (ILLUSTRATIVE).</t>
        </is>
      </c>
    </row>
    <row r="4">
      <c r="A4" s="5" t="inlineStr">
        <is>
          <t>(EUR mm)</t>
        </is>
      </c>
      <c r="B4" s="21" t="inlineStr">
        <is>
          <t>FY2023</t>
        </is>
      </c>
      <c r="C4" s="21" t="inlineStr">
        <is>
          <t>FY2024</t>
        </is>
      </c>
      <c r="D4" s="21" t="inlineStr">
        <is>
          <t>FY2025</t>
        </is>
      </c>
      <c r="E4" s="21" t="inlineStr">
        <is>
          <t>FY2026E</t>
        </is>
      </c>
      <c r="F4" s="21" t="inlineStr">
        <is>
          <t>FY2027E</t>
        </is>
      </c>
      <c r="G4" s="21" t="inlineStr">
        <is>
          <t>FY2028E</t>
        </is>
      </c>
      <c r="H4" s="21" t="inlineStr">
        <is>
          <t>FY2029E</t>
        </is>
      </c>
      <c r="I4" s="21" t="inlineStr">
        <is>
          <t>FY2030E</t>
        </is>
      </c>
    </row>
    <row r="5">
      <c r="A5" s="9" t="inlineStr">
        <is>
          <t>Revenue (link)</t>
        </is>
      </c>
      <c r="B5" s="25">
        <f>Revenue_Build!B5</f>
        <v/>
      </c>
      <c r="C5" s="25">
        <f>Revenue_Build!C5</f>
        <v/>
      </c>
      <c r="D5" s="25">
        <f>Revenue_Build!D5</f>
        <v/>
      </c>
      <c r="E5" s="25">
        <f>Revenue_Build!E5</f>
        <v/>
      </c>
      <c r="F5" s="25">
        <f>Revenue_Build!F5</f>
        <v/>
      </c>
      <c r="G5" s="25">
        <f>Revenue_Build!G5</f>
        <v/>
      </c>
      <c r="H5" s="25">
        <f>Revenue_Build!H5</f>
        <v/>
      </c>
      <c r="I5" s="25">
        <f>Revenue_Build!I5</f>
        <v/>
      </c>
    </row>
    <row r="6">
      <c r="A6" s="9" t="inlineStr">
        <is>
          <t>COGS</t>
        </is>
      </c>
      <c r="B6" s="23">
        <f>B5*(1-Assumptions!$B$27)</f>
        <v/>
      </c>
      <c r="C6" s="23">
        <f>C5*(1-Assumptions!$B$27)</f>
        <v/>
      </c>
      <c r="D6" s="23">
        <f>D5*(1-Assumptions!$B$27)</f>
        <v/>
      </c>
      <c r="E6" s="23">
        <f>E5*(1-Assumptions!$B$27)</f>
        <v/>
      </c>
      <c r="F6" s="23">
        <f>F5*(1-Assumptions!$B$27)</f>
        <v/>
      </c>
      <c r="G6" s="23">
        <f>G5*(1-Assumptions!$B$27)</f>
        <v/>
      </c>
      <c r="H6" s="23">
        <f>H5*(1-Assumptions!$B$27)</f>
        <v/>
      </c>
      <c r="I6" s="23">
        <f>I5*(1-Assumptions!$B$27)</f>
        <v/>
      </c>
    </row>
    <row r="8">
      <c r="A8" s="9" t="inlineStr">
        <is>
          <t>Accounts Receivable</t>
        </is>
      </c>
      <c r="B8" s="23">
        <f>B5*Assumptions!$B$70/365</f>
        <v/>
      </c>
      <c r="C8" s="23">
        <f>C5*Assumptions!$B$70/365</f>
        <v/>
      </c>
      <c r="D8" s="23">
        <f>D5*Assumptions!$B$70/365</f>
        <v/>
      </c>
      <c r="E8" s="23">
        <f>E5*Assumptions!$B$70/365</f>
        <v/>
      </c>
      <c r="F8" s="23">
        <f>F5*Assumptions!$B$70/365</f>
        <v/>
      </c>
      <c r="G8" s="23">
        <f>G5*Assumptions!$B$70/365</f>
        <v/>
      </c>
      <c r="H8" s="23">
        <f>H5*Assumptions!$B$70/365</f>
        <v/>
      </c>
      <c r="I8" s="23">
        <f>I5*Assumptions!$B$70/365</f>
        <v/>
      </c>
    </row>
    <row r="9">
      <c r="A9" s="9" t="inlineStr">
        <is>
          <t>Inventory</t>
        </is>
      </c>
      <c r="B9" s="23">
        <f>B6*Assumptions!$B$71/365</f>
        <v/>
      </c>
      <c r="C9" s="23">
        <f>C6*Assumptions!$B$71/365</f>
        <v/>
      </c>
      <c r="D9" s="23">
        <f>D6*Assumptions!$B$71/365</f>
        <v/>
      </c>
      <c r="E9" s="23">
        <f>E6*Assumptions!$B$71/365</f>
        <v/>
      </c>
      <c r="F9" s="23">
        <f>F6*Assumptions!$B$71/365</f>
        <v/>
      </c>
      <c r="G9" s="23">
        <f>G6*Assumptions!$B$71/365</f>
        <v/>
      </c>
      <c r="H9" s="23">
        <f>H6*Assumptions!$B$71/365</f>
        <v/>
      </c>
      <c r="I9" s="23">
        <f>I6*Assumptions!$B$71/365</f>
        <v/>
      </c>
    </row>
    <row r="10">
      <c r="A10" s="9" t="inlineStr">
        <is>
          <t>Accounts Payable</t>
        </is>
      </c>
      <c r="B10" s="23">
        <f>-B6*Assumptions!$B$72/365</f>
        <v/>
      </c>
      <c r="C10" s="23">
        <f>-C6*Assumptions!$B$72/365</f>
        <v/>
      </c>
      <c r="D10" s="23">
        <f>-D6*Assumptions!$B$72/365</f>
        <v/>
      </c>
      <c r="E10" s="23">
        <f>-E6*Assumptions!$B$72/365</f>
        <v/>
      </c>
      <c r="F10" s="23">
        <f>-F6*Assumptions!$B$72/365</f>
        <v/>
      </c>
      <c r="G10" s="23">
        <f>-G6*Assumptions!$B$72/365</f>
        <v/>
      </c>
      <c r="H10" s="23">
        <f>-H6*Assumptions!$B$72/365</f>
        <v/>
      </c>
      <c r="I10" s="23">
        <f>-I6*Assumptions!$B$72/365</f>
        <v/>
      </c>
    </row>
    <row r="12">
      <c r="A12" s="17" t="inlineStr">
        <is>
          <t>Net Working Capital</t>
        </is>
      </c>
      <c r="B12" s="22">
        <f>B8+B9+B10</f>
        <v/>
      </c>
      <c r="C12" s="22">
        <f>C8+C9+C10</f>
        <v/>
      </c>
      <c r="D12" s="22">
        <f>D8+D9+D10</f>
        <v/>
      </c>
      <c r="E12" s="22">
        <f>E8+E9+E10</f>
        <v/>
      </c>
      <c r="F12" s="22">
        <f>F8+F9+F10</f>
        <v/>
      </c>
      <c r="G12" s="22">
        <f>G8+G9+G10</f>
        <v/>
      </c>
      <c r="H12" s="22">
        <f>H8+H9+H10</f>
        <v/>
      </c>
      <c r="I12" s="22">
        <f>I8+I9+I10</f>
        <v/>
      </c>
    </row>
    <row r="13">
      <c r="A13" s="9" t="inlineStr">
        <is>
          <t>NWC / Revenue %</t>
        </is>
      </c>
      <c r="B13" s="13">
        <f>B12/B5</f>
        <v/>
      </c>
      <c r="C13" s="13">
        <f>C12/C5</f>
        <v/>
      </c>
      <c r="D13" s="13">
        <f>D12/D5</f>
        <v/>
      </c>
      <c r="E13" s="13">
        <f>E12/E5</f>
        <v/>
      </c>
      <c r="F13" s="13">
        <f>F12/F5</f>
        <v/>
      </c>
      <c r="G13" s="13">
        <f>G12/G5</f>
        <v/>
      </c>
      <c r="H13" s="13">
        <f>H12/H5</f>
        <v/>
      </c>
      <c r="I13" s="13">
        <f>I12/I5</f>
        <v/>
      </c>
    </row>
    <row r="14">
      <c r="A14" s="17" t="inlineStr">
        <is>
          <t>Change in NWC (increase = cash use)</t>
        </is>
      </c>
      <c r="B14" s="5" t="inlineStr">
        <is>
          <t>n/a (no prior year)</t>
        </is>
      </c>
      <c r="C14" s="22">
        <f>C12-B12</f>
        <v/>
      </c>
      <c r="D14" s="22">
        <f>D12-C12</f>
        <v/>
      </c>
      <c r="E14" s="22">
        <f>E12-D12</f>
        <v/>
      </c>
      <c r="F14" s="22">
        <f>F12-E12</f>
        <v/>
      </c>
      <c r="G14" s="22">
        <f>G12-F12</f>
        <v/>
      </c>
      <c r="H14" s="22">
        <f>H12-G12</f>
        <v/>
      </c>
      <c r="I14" s="22">
        <f>I12-H12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Capex and Depreciation &amp; Amortization Schedule</t>
        </is>
      </c>
    </row>
    <row r="2">
      <c r="A2" s="5" t="inlineStr">
        <is>
          <t>Capex % and D&amp;A % of revenue per Assumptions tab, Section 6 (ILLUSTRATIVE).</t>
        </is>
      </c>
    </row>
    <row r="4">
      <c r="A4" s="5" t="inlineStr">
        <is>
          <t>(EUR mm)</t>
        </is>
      </c>
      <c r="B4" s="21" t="inlineStr">
        <is>
          <t>FY2023</t>
        </is>
      </c>
      <c r="C4" s="21" t="inlineStr">
        <is>
          <t>FY2024</t>
        </is>
      </c>
      <c r="D4" s="21" t="inlineStr">
        <is>
          <t>FY2025</t>
        </is>
      </c>
      <c r="E4" s="21" t="inlineStr">
        <is>
          <t>FY2026E</t>
        </is>
      </c>
      <c r="F4" s="21" t="inlineStr">
        <is>
          <t>FY2027E</t>
        </is>
      </c>
      <c r="G4" s="21" t="inlineStr">
        <is>
          <t>FY2028E</t>
        </is>
      </c>
      <c r="H4" s="21" t="inlineStr">
        <is>
          <t>FY2029E</t>
        </is>
      </c>
      <c r="I4" s="21" t="inlineStr">
        <is>
          <t>FY2030E</t>
        </is>
      </c>
    </row>
    <row r="5">
      <c r="A5" s="9" t="inlineStr">
        <is>
          <t>Revenue (link)</t>
        </is>
      </c>
      <c r="B5" s="25">
        <f>Revenue_Build!B5</f>
        <v/>
      </c>
      <c r="C5" s="25">
        <f>Revenue_Build!C5</f>
        <v/>
      </c>
      <c r="D5" s="25">
        <f>Revenue_Build!D5</f>
        <v/>
      </c>
      <c r="E5" s="25">
        <f>Revenue_Build!E5</f>
        <v/>
      </c>
      <c r="F5" s="25">
        <f>Revenue_Build!F5</f>
        <v/>
      </c>
      <c r="G5" s="25">
        <f>Revenue_Build!G5</f>
        <v/>
      </c>
      <c r="H5" s="25">
        <f>Revenue_Build!H5</f>
        <v/>
      </c>
      <c r="I5" s="25">
        <f>Revenue_Build!I5</f>
        <v/>
      </c>
    </row>
    <row r="7">
      <c r="A7" s="9" t="inlineStr">
        <is>
          <t>Capex</t>
        </is>
      </c>
      <c r="B7" s="23">
        <f>B5*Assumptions!$B$60</f>
        <v/>
      </c>
      <c r="C7" s="23">
        <f>C5*Assumptions!$B$61</f>
        <v/>
      </c>
      <c r="D7" s="23">
        <f>D5*Assumptions!$B$62</f>
        <v/>
      </c>
      <c r="E7" s="23">
        <f>E5*Assumptions!$B$63</f>
        <v/>
      </c>
      <c r="F7" s="23">
        <f>F5*Assumptions!$B$64</f>
        <v/>
      </c>
      <c r="G7" s="23">
        <f>G5*Assumptions!$B$65</f>
        <v/>
      </c>
      <c r="H7" s="23">
        <f>H5*Assumptions!$B$66</f>
        <v/>
      </c>
      <c r="I7" s="23">
        <f>I5*Assumptions!$B$67</f>
        <v/>
      </c>
    </row>
    <row r="8">
      <c r="A8" s="9" t="inlineStr">
        <is>
          <t>Capex % of revenue</t>
        </is>
      </c>
      <c r="B8" s="13">
        <f>B7/B5</f>
        <v/>
      </c>
      <c r="C8" s="13">
        <f>C7/C5</f>
        <v/>
      </c>
      <c r="D8" s="13">
        <f>D7/D5</f>
        <v/>
      </c>
      <c r="E8" s="13">
        <f>E7/E5</f>
        <v/>
      </c>
      <c r="F8" s="13">
        <f>F7/F5</f>
        <v/>
      </c>
      <c r="G8" s="13">
        <f>G7/G5</f>
        <v/>
      </c>
      <c r="H8" s="13">
        <f>H7/H5</f>
        <v/>
      </c>
      <c r="I8" s="13">
        <f>I7/I5</f>
        <v/>
      </c>
    </row>
    <row r="10">
      <c r="A10" s="9" t="inlineStr">
        <is>
          <t>D&amp;A</t>
        </is>
      </c>
      <c r="B10" s="23">
        <f>B5*Assumptions!$B$59</f>
        <v/>
      </c>
      <c r="C10" s="23">
        <f>C5*Assumptions!$B$59</f>
        <v/>
      </c>
      <c r="D10" s="23">
        <f>D5*Assumptions!$B$59</f>
        <v/>
      </c>
      <c r="E10" s="23">
        <f>E5*Assumptions!$B$59</f>
        <v/>
      </c>
      <c r="F10" s="23">
        <f>F5*Assumptions!$B$59</f>
        <v/>
      </c>
      <c r="G10" s="23">
        <f>G5*Assumptions!$B$59</f>
        <v/>
      </c>
      <c r="H10" s="23">
        <f>H5*Assumptions!$B$59</f>
        <v/>
      </c>
      <c r="I10" s="23">
        <f>I5*Assumptions!$B$59</f>
        <v/>
      </c>
    </row>
    <row r="11">
      <c r="A11" s="9" t="inlineStr">
        <is>
          <t>D&amp;A % of revenue</t>
        </is>
      </c>
      <c r="B11" s="13">
        <f>B10/B5</f>
        <v/>
      </c>
      <c r="C11" s="13">
        <f>C10/C5</f>
        <v/>
      </c>
      <c r="D11" s="13">
        <f>D10/D5</f>
        <v/>
      </c>
      <c r="E11" s="13">
        <f>E10/E5</f>
        <v/>
      </c>
      <c r="F11" s="13">
        <f>F10/F5</f>
        <v/>
      </c>
      <c r="G11" s="13">
        <f>G10/G5</f>
        <v/>
      </c>
      <c r="H11" s="13">
        <f>H10/H5</f>
        <v/>
      </c>
      <c r="I11" s="13">
        <f>I10/I5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Carve-Out P&amp;L and Unlevered Free Cash Flow</t>
        </is>
      </c>
    </row>
    <row r="2">
      <c r="A2" s="5" t="inlineStr">
        <is>
          <t>EUR mm. See Assumptions tab for all margin, cost-bridge, tax, capex and D&amp;A inputs (ILLUSTRATIVE unless marked PUBLIC FACT).</t>
        </is>
      </c>
    </row>
    <row r="4">
      <c r="A4" s="5" t="inlineStr">
        <is>
          <t>(EUR mm)</t>
        </is>
      </c>
      <c r="B4" s="21" t="inlineStr">
        <is>
          <t>FY2023</t>
        </is>
      </c>
      <c r="C4" s="21" t="inlineStr">
        <is>
          <t>FY2024</t>
        </is>
      </c>
      <c r="D4" s="21" t="inlineStr">
        <is>
          <t>FY2025</t>
        </is>
      </c>
      <c r="E4" s="21" t="inlineStr">
        <is>
          <t>FY2026E</t>
        </is>
      </c>
      <c r="F4" s="21" t="inlineStr">
        <is>
          <t>FY2027E</t>
        </is>
      </c>
      <c r="G4" s="21" t="inlineStr">
        <is>
          <t>FY2028E</t>
        </is>
      </c>
      <c r="H4" s="21" t="inlineStr">
        <is>
          <t>FY2029E</t>
        </is>
      </c>
      <c r="I4" s="21" t="inlineStr">
        <is>
          <t>FY2030E</t>
        </is>
      </c>
    </row>
    <row r="5">
      <c r="A5" s="17" t="inlineStr">
        <is>
          <t>Revenue</t>
        </is>
      </c>
      <c r="B5" s="26">
        <f>Revenue_Build!B5</f>
        <v/>
      </c>
      <c r="C5" s="26">
        <f>Revenue_Build!C5</f>
        <v/>
      </c>
      <c r="D5" s="26">
        <f>Revenue_Build!D5</f>
        <v/>
      </c>
      <c r="E5" s="26">
        <f>Revenue_Build!E5</f>
        <v/>
      </c>
      <c r="F5" s="26">
        <f>Revenue_Build!F5</f>
        <v/>
      </c>
      <c r="G5" s="26">
        <f>Revenue_Build!G5</f>
        <v/>
      </c>
      <c r="H5" s="26">
        <f>Revenue_Build!H5</f>
        <v/>
      </c>
      <c r="I5" s="26">
        <f>Revenue_Build!I5</f>
        <v/>
      </c>
    </row>
    <row r="6">
      <c r="A6" s="9" t="inlineStr">
        <is>
          <t xml:space="preserve">  Revenue growth % YoY</t>
        </is>
      </c>
      <c r="C6" s="13">
        <f>C5/B5-1</f>
        <v/>
      </c>
      <c r="D6" s="13">
        <f>D5/C5-1</f>
        <v/>
      </c>
      <c r="E6" s="13">
        <f>E5/D5-1</f>
        <v/>
      </c>
      <c r="F6" s="13">
        <f>F5/E5-1</f>
        <v/>
      </c>
      <c r="G6" s="13">
        <f>G5/F5-1</f>
        <v/>
      </c>
      <c r="H6" s="13">
        <f>H5/G5-1</f>
        <v/>
      </c>
      <c r="I6" s="13">
        <f>I5/H5-1</f>
        <v/>
      </c>
    </row>
    <row r="8">
      <c r="A8" s="9" t="inlineStr">
        <is>
          <t>Gross Profit</t>
        </is>
      </c>
      <c r="B8" s="23">
        <f>B5*Assumptions!$B$27</f>
        <v/>
      </c>
      <c r="C8" s="23">
        <f>C5*Assumptions!$B$27</f>
        <v/>
      </c>
      <c r="D8" s="23">
        <f>D5*Assumptions!$B$27</f>
        <v/>
      </c>
      <c r="E8" s="23">
        <f>E5*Assumptions!$B$27</f>
        <v/>
      </c>
      <c r="F8" s="23">
        <f>F5*Assumptions!$B$27</f>
        <v/>
      </c>
      <c r="G8" s="23">
        <f>G5*Assumptions!$B$27</f>
        <v/>
      </c>
      <c r="H8" s="23">
        <f>H5*Assumptions!$B$27</f>
        <v/>
      </c>
      <c r="I8" s="23">
        <f>I5*Assumptions!$B$27</f>
        <v/>
      </c>
    </row>
    <row r="9">
      <c r="A9" s="9" t="inlineStr">
        <is>
          <t xml:space="preserve">  Gross margin %</t>
        </is>
      </c>
      <c r="B9" s="27">
        <f>Assumptions!$B$27</f>
        <v/>
      </c>
      <c r="C9" s="27">
        <f>Assumptions!$B$27</f>
        <v/>
      </c>
      <c r="D9" s="27">
        <f>Assumptions!$B$27</f>
        <v/>
      </c>
      <c r="E9" s="27">
        <f>Assumptions!$B$27</f>
        <v/>
      </c>
      <c r="F9" s="27">
        <f>Assumptions!$B$27</f>
        <v/>
      </c>
      <c r="G9" s="27">
        <f>Assumptions!$B$27</f>
        <v/>
      </c>
      <c r="H9" s="27">
        <f>Assumptions!$B$27</f>
        <v/>
      </c>
      <c r="I9" s="27">
        <f>Assumptions!$B$27</f>
        <v/>
      </c>
    </row>
    <row r="11">
      <c r="A11" s="17" t="inlineStr">
        <is>
          <t>EBITDA</t>
        </is>
      </c>
      <c r="B11" s="22">
        <f>B5*Assumptions!$B$28</f>
        <v/>
      </c>
      <c r="C11" s="22">
        <f>C5*Assumptions!$B$29</f>
        <v/>
      </c>
      <c r="D11" s="22">
        <f>D5*Assumptions!$B$30</f>
        <v/>
      </c>
      <c r="E11" s="22">
        <f>E5*Assumptions!$B$31</f>
        <v/>
      </c>
      <c r="F11" s="22">
        <f>F5*Assumptions!$B$32</f>
        <v/>
      </c>
      <c r="G11" s="22">
        <f>G5*Assumptions!$B$33</f>
        <v/>
      </c>
      <c r="H11" s="22">
        <f>H5*Assumptions!$B$34</f>
        <v/>
      </c>
      <c r="I11" s="22">
        <f>I5*Assumptions!$B$35</f>
        <v/>
      </c>
    </row>
    <row r="12">
      <c r="A12" s="9" t="inlineStr">
        <is>
          <t xml:space="preserve">  EBITDA margin %</t>
        </is>
      </c>
      <c r="B12" s="27">
        <f>Assumptions!$B$28</f>
        <v/>
      </c>
      <c r="C12" s="27">
        <f>Assumptions!$B$29</f>
        <v/>
      </c>
      <c r="D12" s="27">
        <f>Assumptions!$B$30</f>
        <v/>
      </c>
      <c r="E12" s="27">
        <f>Assumptions!$B$31</f>
        <v/>
      </c>
      <c r="F12" s="27">
        <f>Assumptions!$B$32</f>
        <v/>
      </c>
      <c r="G12" s="27">
        <f>Assumptions!$B$33</f>
        <v/>
      </c>
      <c r="H12" s="27">
        <f>Assumptions!$B$34</f>
        <v/>
      </c>
      <c r="I12" s="27">
        <f>Assumptions!$B$35</f>
        <v/>
      </c>
    </row>
    <row r="14">
      <c r="A14" s="17" t="inlineStr">
        <is>
          <t>Operating expenses — carve-out mechanics</t>
        </is>
      </c>
    </row>
    <row r="15">
      <c r="A15" s="9" t="inlineStr">
        <is>
          <t xml:space="preserve">  TSA costs</t>
        </is>
      </c>
      <c r="B15" s="23">
        <f>-B5*Assumptions!$B$38</f>
        <v/>
      </c>
      <c r="C15" s="23">
        <f>-C5*Assumptions!$B$39</f>
        <v/>
      </c>
      <c r="D15" s="23">
        <f>-D5*Assumptions!$B$40</f>
        <v/>
      </c>
      <c r="E15" s="23">
        <f>-E5*Assumptions!$B$41</f>
        <v/>
      </c>
      <c r="F15" s="23">
        <f>-F5*Assumptions!$B$42</f>
        <v/>
      </c>
      <c r="G15" s="23">
        <f>-G5*Assumptions!$B$43</f>
        <v/>
      </c>
      <c r="H15" s="23">
        <f>-H5*Assumptions!$B$44</f>
        <v/>
      </c>
      <c r="I15" s="23">
        <f>-I5*Assumptions!$B$45</f>
        <v/>
      </c>
    </row>
    <row r="16">
      <c r="A16" s="9" t="inlineStr">
        <is>
          <t xml:space="preserve">  Stranded / standalone replacement costs</t>
        </is>
      </c>
      <c r="B16" s="23">
        <f>-B5*Assumptions!$B$47</f>
        <v/>
      </c>
      <c r="C16" s="23">
        <f>-C5*Assumptions!$B$48</f>
        <v/>
      </c>
      <c r="D16" s="23">
        <f>-D5*Assumptions!$B$49</f>
        <v/>
      </c>
      <c r="E16" s="23">
        <f>-E5*Assumptions!$B$50</f>
        <v/>
      </c>
      <c r="F16" s="23">
        <f>-F5*Assumptions!$B$51</f>
        <v/>
      </c>
      <c r="G16" s="23">
        <f>-G5*Assumptions!$B$52</f>
        <v/>
      </c>
      <c r="H16" s="23">
        <f>-H5*Assumptions!$B$53</f>
        <v/>
      </c>
      <c r="I16" s="23">
        <f>-I5*Assumptions!$B$54</f>
        <v/>
      </c>
    </row>
    <row r="17">
      <c r="A17" s="9" t="inlineStr">
        <is>
          <t xml:space="preserve">  Standalone operating expenses (plug: Gross Profit less EBITDA less items above)</t>
        </is>
      </c>
      <c r="B17" s="23">
        <f>-(B8-B11+B15+B16)</f>
        <v/>
      </c>
      <c r="C17" s="23">
        <f>-(C8-C11+C15+C16)</f>
        <v/>
      </c>
      <c r="D17" s="23">
        <f>-(D8-D11+D15+D16)</f>
        <v/>
      </c>
      <c r="E17" s="23">
        <f>-(E8-E11+E15+E16)</f>
        <v/>
      </c>
      <c r="F17" s="23">
        <f>-(F8-F11+F15+F16)</f>
        <v/>
      </c>
      <c r="G17" s="23">
        <f>-(G8-G11+G15+G16)</f>
        <v/>
      </c>
      <c r="H17" s="23">
        <f>-(H8-H11+H15+H16)</f>
        <v/>
      </c>
      <c r="I17" s="23">
        <f>-(I8-I11+I15+I16)</f>
        <v/>
      </c>
    </row>
    <row r="18">
      <c r="A18" s="9" t="inlineStr">
        <is>
          <t>Check: Gross Profit + Opex items = EBITDA</t>
        </is>
      </c>
      <c r="B18" s="28">
        <f>B8+B15+B16+B17-B11</f>
        <v/>
      </c>
      <c r="C18" s="28">
        <f>C8+C15+C16+C17-C11</f>
        <v/>
      </c>
      <c r="D18" s="28">
        <f>D8+D15+D16+D17-D11</f>
        <v/>
      </c>
      <c r="E18" s="28">
        <f>E8+E15+E16+E17-E11</f>
        <v/>
      </c>
      <c r="F18" s="28">
        <f>F8+F15+F16+F17-F11</f>
        <v/>
      </c>
      <c r="G18" s="28">
        <f>G8+G15+G16+G17-G11</f>
        <v/>
      </c>
      <c r="H18" s="28">
        <f>H8+H15+H16+H17-H11</f>
        <v/>
      </c>
      <c r="I18" s="28">
        <f>I8+I15+I16+I17-I11</f>
        <v/>
      </c>
    </row>
    <row r="20">
      <c r="A20" s="9" t="inlineStr">
        <is>
          <t>D&amp;A</t>
        </is>
      </c>
      <c r="B20" s="25">
        <f>-Capex_DA!B10</f>
        <v/>
      </c>
      <c r="C20" s="25">
        <f>-Capex_DA!C10</f>
        <v/>
      </c>
      <c r="D20" s="25">
        <f>-Capex_DA!D10</f>
        <v/>
      </c>
      <c r="E20" s="25">
        <f>-Capex_DA!E10</f>
        <v/>
      </c>
      <c r="F20" s="25">
        <f>-Capex_DA!F10</f>
        <v/>
      </c>
      <c r="G20" s="25">
        <f>-Capex_DA!G10</f>
        <v/>
      </c>
      <c r="H20" s="25">
        <f>-Capex_DA!H10</f>
        <v/>
      </c>
      <c r="I20" s="25">
        <f>-Capex_DA!I10</f>
        <v/>
      </c>
    </row>
    <row r="21">
      <c r="A21" s="17" t="inlineStr">
        <is>
          <t>EBIT</t>
        </is>
      </c>
      <c r="B21" s="22">
        <f>B11+B20</f>
        <v/>
      </c>
      <c r="C21" s="22">
        <f>C11+C20</f>
        <v/>
      </c>
      <c r="D21" s="22">
        <f>D11+D20</f>
        <v/>
      </c>
      <c r="E21" s="22">
        <f>E11+E20</f>
        <v/>
      </c>
      <c r="F21" s="22">
        <f>F11+F20</f>
        <v/>
      </c>
      <c r="G21" s="22">
        <f>G11+G20</f>
        <v/>
      </c>
      <c r="H21" s="22">
        <f>H11+H20</f>
        <v/>
      </c>
      <c r="I21" s="22">
        <f>I11+I20</f>
        <v/>
      </c>
    </row>
    <row r="23">
      <c r="A23" s="9" t="inlineStr">
        <is>
          <t>Cash taxes (= EBIT x blended effective tax rate; simplified, no timing differences)</t>
        </is>
      </c>
      <c r="B23" s="23">
        <f>-MAX(B21,0)*Assumptions!$B$79</f>
        <v/>
      </c>
      <c r="C23" s="23">
        <f>-MAX(C21,0)*Assumptions!$B$79</f>
        <v/>
      </c>
      <c r="D23" s="23">
        <f>-MAX(D21,0)*Assumptions!$B$79</f>
        <v/>
      </c>
      <c r="E23" s="23">
        <f>-MAX(E21,0)*Assumptions!$B$79</f>
        <v/>
      </c>
      <c r="F23" s="23">
        <f>-MAX(F21,0)*Assumptions!$B$79</f>
        <v/>
      </c>
      <c r="G23" s="23">
        <f>-MAX(G21,0)*Assumptions!$B$79</f>
        <v/>
      </c>
      <c r="H23" s="23">
        <f>-MAX(H21,0)*Assumptions!$B$79</f>
        <v/>
      </c>
      <c r="I23" s="23">
        <f>-MAX(I21,0)*Assumptions!$B$79</f>
        <v/>
      </c>
    </row>
    <row r="24">
      <c r="A24" s="9" t="inlineStr">
        <is>
          <t>Capex</t>
        </is>
      </c>
      <c r="B24" s="25">
        <f>-Capex_DA!B7</f>
        <v/>
      </c>
      <c r="C24" s="25">
        <f>-Capex_DA!C7</f>
        <v/>
      </c>
      <c r="D24" s="25">
        <f>-Capex_DA!D7</f>
        <v/>
      </c>
      <c r="E24" s="25">
        <f>-Capex_DA!E7</f>
        <v/>
      </c>
      <c r="F24" s="25">
        <f>-Capex_DA!F7</f>
        <v/>
      </c>
      <c r="G24" s="25">
        <f>-Capex_DA!G7</f>
        <v/>
      </c>
      <c r="H24" s="25">
        <f>-Capex_DA!H7</f>
        <v/>
      </c>
      <c r="I24" s="25">
        <f>-Capex_DA!I7</f>
        <v/>
      </c>
    </row>
    <row r="25">
      <c r="A25" s="9" t="inlineStr">
        <is>
          <t>Change in NWC (increase = cash outflow)</t>
        </is>
      </c>
      <c r="B25" s="5" t="inlineStr">
        <is>
          <t>n/a</t>
        </is>
      </c>
      <c r="C25" s="25">
        <f>-Working_Capital!C14</f>
        <v/>
      </c>
      <c r="D25" s="25">
        <f>-Working_Capital!D14</f>
        <v/>
      </c>
      <c r="E25" s="25">
        <f>-Working_Capital!E14</f>
        <v/>
      </c>
      <c r="F25" s="25">
        <f>-Working_Capital!F14</f>
        <v/>
      </c>
      <c r="G25" s="25">
        <f>-Working_Capital!G14</f>
        <v/>
      </c>
      <c r="H25" s="25">
        <f>-Working_Capital!H14</f>
        <v/>
      </c>
      <c r="I25" s="25">
        <f>-Working_Capital!I14</f>
        <v/>
      </c>
    </row>
    <row r="26">
      <c r="A26" s="9" t="inlineStr">
        <is>
          <t>One-time separation costs (FY2026E only, illustrative, pre-tax)</t>
        </is>
      </c>
      <c r="B26" s="23" t="n">
        <v>0</v>
      </c>
      <c r="C26" s="23" t="n">
        <v>0</v>
      </c>
      <c r="D26" s="23" t="n">
        <v>0</v>
      </c>
      <c r="E26" s="25">
        <f>-Assumptions!$B$56</f>
        <v/>
      </c>
      <c r="F26" s="23" t="n">
        <v>0</v>
      </c>
      <c r="G26" s="23" t="n">
        <v>0</v>
      </c>
      <c r="H26" s="23" t="n">
        <v>0</v>
      </c>
      <c r="I26" s="23" t="n">
        <v>0</v>
      </c>
    </row>
    <row r="28">
      <c r="A28" s="17" t="inlineStr">
        <is>
          <t>Unlevered Free Cash Flow</t>
        </is>
      </c>
      <c r="B28" s="5" t="inlineStr">
        <is>
          <t>n/a</t>
        </is>
      </c>
      <c r="C28" s="22">
        <f>C21+C23+C20*-1+C24+C25+C26</f>
        <v/>
      </c>
      <c r="D28" s="22">
        <f>D21+D23+D20*-1+D24+D25+D26</f>
        <v/>
      </c>
      <c r="E28" s="22">
        <f>E21+E23+E20*-1+E24+E25+E26</f>
        <v/>
      </c>
      <c r="F28" s="22">
        <f>F21+F23+F20*-1+F24+F25+F26</f>
        <v/>
      </c>
      <c r="G28" s="22">
        <f>G21+G23+G20*-1+G24+G25+G26</f>
        <v/>
      </c>
      <c r="H28" s="22">
        <f>H21+H23+H20*-1+H24+H25+H26</f>
        <v/>
      </c>
      <c r="I28" s="22">
        <f>I21+I23+I20*-1+I24+I25+I26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1" t="inlineStr">
        <is>
          <t>DCF Valuation — Unlevered Free Cash Flow</t>
        </is>
      </c>
    </row>
    <row r="2">
      <c r="A2" s="2" t="inlineStr">
        <is>
          <t>Discounts FY2026E-FY2030E unlevered FCF from Carveout_PnL at the WACC derived on the Assumptions tab. Enterprise Value only — see equity bridge note below for the debt/cash disclosure limitation.</t>
        </is>
      </c>
    </row>
    <row r="4">
      <c r="A4" s="5" t="inlineStr">
        <is>
          <t>(EUR mm)</t>
        </is>
      </c>
      <c r="B4" s="21" t="inlineStr">
        <is>
          <t>FY2026E</t>
        </is>
      </c>
      <c r="C4" s="21" t="inlineStr">
        <is>
          <t>FY2027E</t>
        </is>
      </c>
      <c r="D4" s="21" t="inlineStr">
        <is>
          <t>FY2028E</t>
        </is>
      </c>
      <c r="E4" s="21" t="inlineStr">
        <is>
          <t>FY2029E</t>
        </is>
      </c>
      <c r="F4" s="21" t="inlineStr">
        <is>
          <t>FY2030E</t>
        </is>
      </c>
    </row>
    <row r="5">
      <c r="A5" s="9" t="inlineStr">
        <is>
          <t>Unlevered Free Cash Flow</t>
        </is>
      </c>
      <c r="B5" s="25">
        <f>Carveout_PnL!E28</f>
        <v/>
      </c>
      <c r="C5" s="25">
        <f>Carveout_PnL!F28</f>
        <v/>
      </c>
      <c r="D5" s="25">
        <f>Carveout_PnL!G28</f>
        <v/>
      </c>
      <c r="E5" s="25">
        <f>Carveout_PnL!H28</f>
        <v/>
      </c>
      <c r="F5" s="25">
        <f>Carveout_PnL!I28</f>
        <v/>
      </c>
    </row>
    <row r="6">
      <c r="A6" s="9" t="inlineStr">
        <is>
          <t>Period (t)</t>
        </is>
      </c>
      <c r="B6" s="29" t="n">
        <v>1</v>
      </c>
      <c r="C6" s="29" t="n">
        <v>2</v>
      </c>
      <c r="D6" s="29" t="n">
        <v>3</v>
      </c>
      <c r="E6" s="29" t="n">
        <v>4</v>
      </c>
      <c r="F6" s="29" t="n">
        <v>5</v>
      </c>
    </row>
    <row r="7">
      <c r="A7" s="9" t="inlineStr">
        <is>
          <t>Discount factor @ WACC</t>
        </is>
      </c>
      <c r="B7" s="30">
        <f>1/(1+Assumptions!$B$90)^B6</f>
        <v/>
      </c>
      <c r="C7" s="30">
        <f>1/(1+Assumptions!$B$90)^C6</f>
        <v/>
      </c>
      <c r="D7" s="30">
        <f>1/(1+Assumptions!$B$90)^D6</f>
        <v/>
      </c>
      <c r="E7" s="30">
        <f>1/(1+Assumptions!$B$90)^E6</f>
        <v/>
      </c>
      <c r="F7" s="30">
        <f>1/(1+Assumptions!$B$90)^F6</f>
        <v/>
      </c>
    </row>
    <row r="8">
      <c r="A8" s="9" t="inlineStr">
        <is>
          <t>PV of FCF</t>
        </is>
      </c>
      <c r="B8" s="23">
        <f>B5*B7</f>
        <v/>
      </c>
      <c r="C8" s="23">
        <f>C5*C7</f>
        <v/>
      </c>
      <c r="D8" s="23">
        <f>D5*D7</f>
        <v/>
      </c>
      <c r="E8" s="23">
        <f>E5*E7</f>
        <v/>
      </c>
      <c r="F8" s="23">
        <f>F5*F7</f>
        <v/>
      </c>
    </row>
    <row r="10">
      <c r="A10" s="17" t="inlineStr">
        <is>
          <t>Terminal Value (Gordon Growth, on FY2030E FCF)</t>
        </is>
      </c>
      <c r="F10" s="22">
        <f>E5*(1+Assumptions!$B$92)/(Assumptions!$B$90-Assumptions!$B$92)</f>
        <v/>
      </c>
    </row>
    <row r="11">
      <c r="A11" s="9" t="inlineStr">
        <is>
          <t>PV of Terminal Value</t>
        </is>
      </c>
      <c r="F11" s="22">
        <f>F10*F7</f>
        <v/>
      </c>
    </row>
    <row r="13">
      <c r="A13" s="9" t="inlineStr">
        <is>
          <t>Sum of PV of FCF (FY2026E-FY2030E)</t>
        </is>
      </c>
      <c r="B13" s="23">
        <f>SUM(B8:F8)</f>
        <v/>
      </c>
    </row>
    <row r="14">
      <c r="A14" s="9" t="inlineStr">
        <is>
          <t>PV of Terminal Value</t>
        </is>
      </c>
      <c r="B14" s="23">
        <f>F11</f>
        <v/>
      </c>
    </row>
    <row r="15">
      <c r="A15" s="17" t="inlineStr">
        <is>
          <t>Enterprise Value (EUR mm)</t>
        </is>
      </c>
      <c r="B15" s="31">
        <f>B13+B14</f>
        <v/>
      </c>
    </row>
    <row r="16">
      <c r="A16" s="9" t="inlineStr">
        <is>
          <t xml:space="preserve">  TV as % of Enterprise Value</t>
        </is>
      </c>
      <c r="B16" s="13">
        <f>B14/B15</f>
        <v/>
      </c>
    </row>
    <row r="18">
      <c r="A18" s="9" t="inlineStr">
        <is>
          <t>Implied EV / FY2026E Revenue</t>
        </is>
      </c>
      <c r="B18" s="32">
        <f>B15/Carveout_PnL!E5</f>
        <v/>
      </c>
    </row>
    <row r="19">
      <c r="A19" s="9" t="inlineStr">
        <is>
          <t>Implied EV / FY2026E EBITDA</t>
        </is>
      </c>
      <c r="B19" s="32">
        <f>B15/Carveout_PnL!E11</f>
        <v/>
      </c>
    </row>
    <row r="21">
      <c r="A21" s="17" t="inlineStr">
        <is>
          <t>Equity Bridge</t>
        </is>
      </c>
    </row>
    <row r="22">
      <c r="A22" s="9" t="inlineStr">
        <is>
          <t>Enterprise Value</t>
        </is>
      </c>
      <c r="B22" s="23">
        <f>B15</f>
        <v/>
      </c>
    </row>
    <row r="23">
      <c r="A23" s="9" t="inlineStr">
        <is>
          <t>Less: Debt (asset-level, SEA carve-out)</t>
        </is>
      </c>
      <c r="B23" s="5" t="inlineStr">
        <is>
          <t>N/A — not publicly disclosed</t>
        </is>
      </c>
    </row>
    <row r="24">
      <c r="A24" s="9" t="inlineStr">
        <is>
          <t>Plus: Cash (asset-level, SEA carve-out)</t>
        </is>
      </c>
      <c r="B24" s="5" t="inlineStr">
        <is>
          <t>N/A — not publicly disclosed</t>
        </is>
      </c>
    </row>
    <row r="25">
      <c r="A25" s="17" t="inlineStr">
        <is>
          <t>Equity Value</t>
        </is>
      </c>
      <c r="B25" s="33" t="inlineStr">
        <is>
          <t>Cannot be calculated — see limitation note below</t>
        </is>
      </c>
    </row>
    <row r="27" ht="45" customHeight="1">
      <c r="A27" s="2" t="inlineStr">
        <is>
          <t>LIMITATION: AkzoNobel does not publicly disclose asset-level (SEA decorative carve-out) debt or cash balances — these exist only at the consolidated group level and are not allocable to this perimeter without confidential carve-out balance sheet data. The Enterprise Value above is therefore presented as the primary valuation output; no Equity Value can be responsibly calculated from public information.</t>
        </is>
      </c>
    </row>
    <row r="30">
      <c r="A30" s="17" t="inlineStr">
        <is>
          <t>Sensitivity: Enterprise Value (EUR mm) — WACC x Terminal Growth</t>
        </is>
      </c>
    </row>
    <row r="31">
      <c r="A31" s="34" t="inlineStr">
        <is>
          <t>WACC \ g</t>
        </is>
      </c>
      <c r="B31" s="35">
        <f>Assumptions!$B$92+(-0.01)</f>
        <v/>
      </c>
      <c r="C31" s="35">
        <f>Assumptions!$B$92+(-0.005)</f>
        <v/>
      </c>
      <c r="D31" s="35">
        <f>Assumptions!$B$92+(0.0)</f>
        <v/>
      </c>
      <c r="E31" s="35">
        <f>Assumptions!$B$92+(0.005)</f>
        <v/>
      </c>
      <c r="F31" s="35">
        <f>Assumptions!$B$92+(0.01)</f>
        <v/>
      </c>
    </row>
    <row r="32">
      <c r="A32" s="36">
        <f>Assumptions!$B$90+(-0.01)</f>
        <v/>
      </c>
      <c r="B32" s="37">
        <f>B$5/(1+$A32)^1+C$5/(1+$A32)^2+D$5/(1+$A32)^3+E$5/(1+$A32)^4+F$5/(1+$A32)^5+(F$5*(1+B$31)/($A32-B$31))/(1+$A32)^5</f>
        <v/>
      </c>
      <c r="C32" s="37">
        <f>B$5/(1+$A32)^1+C$5/(1+$A32)^2+D$5/(1+$A32)^3+E$5/(1+$A32)^4+F$5/(1+$A32)^5+(F$5*(1+C$31)/($A32-C$31))/(1+$A32)^5</f>
        <v/>
      </c>
      <c r="D32" s="37">
        <f>B$5/(1+$A32)^1+C$5/(1+$A32)^2+D$5/(1+$A32)^3+E$5/(1+$A32)^4+F$5/(1+$A32)^5+(F$5*(1+D$31)/($A32-D$31))/(1+$A32)^5</f>
        <v/>
      </c>
      <c r="E32" s="37">
        <f>B$5/(1+$A32)^1+C$5/(1+$A32)^2+D$5/(1+$A32)^3+E$5/(1+$A32)^4+F$5/(1+$A32)^5+(F$5*(1+E$31)/($A32-E$31))/(1+$A32)^5</f>
        <v/>
      </c>
      <c r="F32" s="37">
        <f>B$5/(1+$A32)^1+C$5/(1+$A32)^2+D$5/(1+$A32)^3+E$5/(1+$A32)^4+F$5/(1+$A32)^5+(F$5*(1+F$31)/($A32-F$31))/(1+$A32)^5</f>
        <v/>
      </c>
    </row>
    <row r="33">
      <c r="A33" s="36">
        <f>Assumptions!$B$90+(-0.005)</f>
        <v/>
      </c>
      <c r="B33" s="37">
        <f>B$5/(1+$A33)^1+C$5/(1+$A33)^2+D$5/(1+$A33)^3+E$5/(1+$A33)^4+F$5/(1+$A33)^5+(F$5*(1+B$31)/($A33-B$31))/(1+$A33)^5</f>
        <v/>
      </c>
      <c r="C33" s="37">
        <f>B$5/(1+$A33)^1+C$5/(1+$A33)^2+D$5/(1+$A33)^3+E$5/(1+$A33)^4+F$5/(1+$A33)^5+(F$5*(1+C$31)/($A33-C$31))/(1+$A33)^5</f>
        <v/>
      </c>
      <c r="D33" s="37">
        <f>B$5/(1+$A33)^1+C$5/(1+$A33)^2+D$5/(1+$A33)^3+E$5/(1+$A33)^4+F$5/(1+$A33)^5+(F$5*(1+D$31)/($A33-D$31))/(1+$A33)^5</f>
        <v/>
      </c>
      <c r="E33" s="37">
        <f>B$5/(1+$A33)^1+C$5/(1+$A33)^2+D$5/(1+$A33)^3+E$5/(1+$A33)^4+F$5/(1+$A33)^5+(F$5*(1+E$31)/($A33-E$31))/(1+$A33)^5</f>
        <v/>
      </c>
      <c r="F33" s="37">
        <f>B$5/(1+$A33)^1+C$5/(1+$A33)^2+D$5/(1+$A33)^3+E$5/(1+$A33)^4+F$5/(1+$A33)^5+(F$5*(1+F$31)/($A33-F$31))/(1+$A33)^5</f>
        <v/>
      </c>
    </row>
    <row r="34">
      <c r="A34" s="36">
        <f>Assumptions!$B$90+(0.0)</f>
        <v/>
      </c>
      <c r="B34" s="37">
        <f>B$5/(1+$A34)^1+C$5/(1+$A34)^2+D$5/(1+$A34)^3+E$5/(1+$A34)^4+F$5/(1+$A34)^5+(F$5*(1+B$31)/($A34-B$31))/(1+$A34)^5</f>
        <v/>
      </c>
      <c r="C34" s="37">
        <f>B$5/(1+$A34)^1+C$5/(1+$A34)^2+D$5/(1+$A34)^3+E$5/(1+$A34)^4+F$5/(1+$A34)^5+(F$5*(1+C$31)/($A34-C$31))/(1+$A34)^5</f>
        <v/>
      </c>
      <c r="D34" s="38">
        <f>B$5/(1+$A34)^1+C$5/(1+$A34)^2+D$5/(1+$A34)^3+E$5/(1+$A34)^4+F$5/(1+$A34)^5+(F$5*(1+D$31)/($A34-D$31))/(1+$A34)^5</f>
        <v/>
      </c>
      <c r="E34" s="37">
        <f>B$5/(1+$A34)^1+C$5/(1+$A34)^2+D$5/(1+$A34)^3+E$5/(1+$A34)^4+F$5/(1+$A34)^5+(F$5*(1+E$31)/($A34-E$31))/(1+$A34)^5</f>
        <v/>
      </c>
      <c r="F34" s="37">
        <f>B$5/(1+$A34)^1+C$5/(1+$A34)^2+D$5/(1+$A34)^3+E$5/(1+$A34)^4+F$5/(1+$A34)^5+(F$5*(1+F$31)/($A34-F$31))/(1+$A34)^5</f>
        <v/>
      </c>
    </row>
    <row r="35">
      <c r="A35" s="36">
        <f>Assumptions!$B$90+(0.005)</f>
        <v/>
      </c>
      <c r="B35" s="37">
        <f>B$5/(1+$A35)^1+C$5/(1+$A35)^2+D$5/(1+$A35)^3+E$5/(1+$A35)^4+F$5/(1+$A35)^5+(F$5*(1+B$31)/($A35-B$31))/(1+$A35)^5</f>
        <v/>
      </c>
      <c r="C35" s="37">
        <f>B$5/(1+$A35)^1+C$5/(1+$A35)^2+D$5/(1+$A35)^3+E$5/(1+$A35)^4+F$5/(1+$A35)^5+(F$5*(1+C$31)/($A35-C$31))/(1+$A35)^5</f>
        <v/>
      </c>
      <c r="D35" s="37">
        <f>B$5/(1+$A35)^1+C$5/(1+$A35)^2+D$5/(1+$A35)^3+E$5/(1+$A35)^4+F$5/(1+$A35)^5+(F$5*(1+D$31)/($A35-D$31))/(1+$A35)^5</f>
        <v/>
      </c>
      <c r="E35" s="37">
        <f>B$5/(1+$A35)^1+C$5/(1+$A35)^2+D$5/(1+$A35)^3+E$5/(1+$A35)^4+F$5/(1+$A35)^5+(F$5*(1+E$31)/($A35-E$31))/(1+$A35)^5</f>
        <v/>
      </c>
      <c r="F35" s="37">
        <f>B$5/(1+$A35)^1+C$5/(1+$A35)^2+D$5/(1+$A35)^3+E$5/(1+$A35)^4+F$5/(1+$A35)^5+(F$5*(1+F$31)/($A35-F$31))/(1+$A35)^5</f>
        <v/>
      </c>
    </row>
    <row r="36">
      <c r="A36" s="36">
        <f>Assumptions!$B$90+(0.01)</f>
        <v/>
      </c>
      <c r="B36" s="37">
        <f>B$5/(1+$A36)^1+C$5/(1+$A36)^2+D$5/(1+$A36)^3+E$5/(1+$A36)^4+F$5/(1+$A36)^5+(F$5*(1+B$31)/($A36-B$31))/(1+$A36)^5</f>
        <v/>
      </c>
      <c r="C36" s="37">
        <f>B$5/(1+$A36)^1+C$5/(1+$A36)^2+D$5/(1+$A36)^3+E$5/(1+$A36)^4+F$5/(1+$A36)^5+(F$5*(1+C$31)/($A36-C$31))/(1+$A36)^5</f>
        <v/>
      </c>
      <c r="D36" s="37">
        <f>B$5/(1+$A36)^1+C$5/(1+$A36)^2+D$5/(1+$A36)^3+E$5/(1+$A36)^4+F$5/(1+$A36)^5+(F$5*(1+D$31)/($A36-D$31))/(1+$A36)^5</f>
        <v/>
      </c>
      <c r="E36" s="37">
        <f>B$5/(1+$A36)^1+C$5/(1+$A36)^2+D$5/(1+$A36)^3+E$5/(1+$A36)^4+F$5/(1+$A36)^5+(F$5*(1+E$31)/($A36-E$31))/(1+$A36)^5</f>
        <v/>
      </c>
      <c r="F36" s="37">
        <f>B$5/(1+$A36)^1+C$5/(1+$A36)^2+D$5/(1+$A36)^3+E$5/(1+$A36)^4+F$5/(1+$A36)^5+(F$5*(1+F$31)/($A36-F$31))/(1+$A36)^5</f>
        <v/>
      </c>
    </row>
  </sheetData>
  <mergeCells count="1">
    <mergeCell ref="A27:F2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55" customWidth="1" min="2" max="2"/>
    <col width="55" customWidth="1" min="3" max="3"/>
    <col width="22" customWidth="1" min="4" max="4"/>
  </cols>
  <sheetData>
    <row r="1">
      <c r="A1" s="6" t="inlineStr">
        <is>
          <t>Source ID</t>
        </is>
      </c>
      <c r="B1" s="6" t="inlineStr">
        <is>
          <t>Source</t>
        </is>
      </c>
      <c r="C1" s="6" t="inlineStr">
        <is>
          <t>URL</t>
        </is>
      </c>
      <c r="D1" s="6" t="inlineStr">
        <is>
          <t>Used For</t>
        </is>
      </c>
    </row>
    <row r="2">
      <c r="A2" s="3" t="inlineStr">
        <is>
          <t>SRC-001</t>
        </is>
      </c>
      <c r="B2" s="3" t="inlineStr">
        <is>
          <t>ION Analytics / Mergermarket, 'AkzoNobel taps Goldman Sachs for sale of Southeast Asia paints assets'</t>
        </is>
      </c>
      <c r="C2" s="3" t="inlineStr">
        <is>
          <t>https://ionanalytics.com/insights/mergermarket/akzonobel-taps-goldman-sachs-for-sale-of-southeast-asia-paints-assets/</t>
        </is>
      </c>
      <c r="D2" s="3" t="inlineStr">
        <is>
          <t>Revenue anchor (EUR 300m), country scope, ASEAN market size/CAGR basis</t>
        </is>
      </c>
    </row>
    <row r="3">
      <c r="A3" s="3" t="inlineStr">
        <is>
          <t>SRC-013</t>
        </is>
      </c>
      <c r="B3" s="3" t="inlineStr">
        <is>
          <t>PCI Magazine, '2026 Global Top 10: No. 3, AkzoNobel' (FY2025 segment results)</t>
        </is>
      </c>
      <c r="C3" s="3" t="inlineStr">
        <is>
          <t>https://www.pcimag.com/articles/114754-2026-global-top-10-no-3-akzonobel</t>
        </is>
      </c>
      <c r="D3" s="3" t="inlineStr">
        <is>
          <t>Group Decorative Paints EBITDA margin proxy (FY2024 14.2%, FY2025 15.8%)</t>
        </is>
      </c>
    </row>
    <row r="4">
      <c r="A4" s="3" t="inlineStr">
        <is>
          <t>SRC-015</t>
        </is>
      </c>
      <c r="B4" s="3" t="inlineStr">
        <is>
          <t>AkzoNobel FY2025/FY2024 results releases (Decorative Paints segment margin)</t>
        </is>
      </c>
      <c r="C4" s="3" t="inlineStr">
        <is>
          <t>https://www.akzonobel.com/en/media/media-releases/q4-2025</t>
        </is>
      </c>
      <c r="D4" s="3" t="inlineStr">
        <is>
          <t>Corroborates Group Decorative Paints EBITDA margin trend</t>
        </is>
      </c>
    </row>
    <row r="5">
      <c r="A5" s="3" t="inlineStr">
        <is>
          <t>SRC-016</t>
        </is>
      </c>
      <c r="B5" s="3" t="inlineStr">
        <is>
          <t>OECD Corporate Tax Statistics 2026 / Trading Economics / PwC Tax Summaries / Thaicore</t>
        </is>
      </c>
      <c r="C5" s="3" t="inlineStr">
        <is>
          <t>https://www.oecd.org/en/publications/corporate-tax-statistics-2026_73af6222-en.html</t>
        </is>
      </c>
      <c r="D5" s="3" t="inlineStr">
        <is>
          <t>Statutory CIT rates: Indonesia 22%, Thailand 20%, Malaysia 24%, Vietnam 20%</t>
        </is>
      </c>
    </row>
    <row r="6">
      <c r="A6" s="3" t="inlineStr">
        <is>
          <t>SRC-017</t>
        </is>
      </c>
      <c r="B6" s="3" t="inlineStr">
        <is>
          <t>Multiples.vc / market commentary — Asian Paints, Nippon Paint, Kansai Paint EBITDA margins</t>
        </is>
      </c>
      <c r="C6" s="3" t="inlineStr">
        <is>
          <t>https://multiples.vc/public-comps/nippon-paint-valuation-multiples</t>
        </is>
      </c>
      <c r="D6" s="3" t="inlineStr">
        <is>
          <t>Peer EBITDA margin benchmarks used to justify forward margin ramp assumption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2026-09-17T20:14:32Z</dcterms:created>
  <dcterms:modified xmlns:dcterms="http://purl.org/dc/terms/" xmlns:xsi="http://www.w3.org/2001/XMLSchema-instance" xsi:type="dcterms:W3CDTF">2026-09-17T20:14:32Z</dcterms:modified>
</cp:coreProperties>
</file>
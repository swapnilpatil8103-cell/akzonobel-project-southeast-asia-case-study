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600" firstSheet="0" activeTab="0"/>
  </bookViews>
  <sheets>
    <sheet name="README" sheetId="1" state="visible" r:id="rId3"/>
    <sheet name="Buyer_Fit_Matrix" sheetId="2" state="visible" r:id="rId4"/>
    <sheet name="Financial_Investors" sheetId="3" state="visible" r:id="rId5"/>
    <sheet name="Synergy_Analysis" sheetId="4" state="visible" r:id="rId6"/>
    <sheet name="Outcome_Summary" sheetId="5" state="visible" r:id="rId7"/>
    <sheet name="Synergy_v2"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<sst xmlns="http://schemas.openxmlformats.org/spreadsheetml/2006/main" count="325" uniqueCount="241">
  <si>
    <t xml:space="preserve">Project Southeast Asia — Buyer Analysis</t>
  </si>
  <si>
    <t xml:space="preserve">Independent student analysis/reconstruction based on publicly available information. Not affiliated with, commissioned by, or representative of Goldman Sachs or AkzoNobel.</t>
  </si>
  <si>
    <t xml:space="preserve">METHOD: For every buyer and fit category, this workbook follows an EVIDENCE -&gt; STRATEGIC IMPLICATION -&gt; POTENTIAL SYNERGY structure. No arbitrary 1-5 or 1-10 buyer scores are used, per project instructions — conclusions are qualitative and evidence-anchored, not numeric ratings dressed up as precision.</t>
  </si>
  <si>
    <t xml:space="preserve">BUYER UNIVERSE: Nippon Paint Holdings, Kansai Paint, Asian Paints / Berger Paints (same group), Sherwin-Williams, PPG Industries — the strategics named in the ION Analytics article's market commentary — plus Siam Cement Group (SCG), the one buyer specifically named as being in preliminary discussions. Financial (private equity) investors are addressed briefly in the Financial_Investors tab; none is named in the source article, so this section is scenario-based rather than evidence-based and is labeled accordingly.</t>
  </si>
  <si>
    <t xml:space="preserve">See Buyer_Fit_Matrix for the full evidence-based comparison and Synergy_Analysis for buyer-specific revenue/cost synergy scenarios (illustrative, methodology disclosed).</t>
  </si>
  <si>
    <t xml:space="preserve">OCTOBER 2026 UPDATE (v2)</t>
  </si>
  <si>
    <t xml:space="preserve">WHAT CHANGED: (1) Buyer_Fit_Matrix gains two clearly separated OUTCOME columns (F, G) after the 5 Oct 2026 announcement; (2) Outcome_Summary lists the six buyers against what is now known; (3) Synergy_v2 rebuilds the Nippon Paint synergy sizing on reported FY2025 revenue and adds 'Synergies needed to justify the price'.</t>
  </si>
  <si>
    <t xml:space="preserve">WHAT DID NOT CHANGE: every September column, row and sheet (columns A-E of Buyer_Fit_Matrix, Financial_Investors, Synergy_Analysis) is kept exactly as written in September. Nothing there was edited to look right in hindsight. The original is in 06_Buyer_Analysis/.</t>
  </si>
  <si>
    <t xml:space="preserve">WHAT IS KNOWN: Nippon Paint is the buyer (PUBLIC FACT, AkzoNobel release, SRC-037). The bidder list is not public: no statement is made here about who else bid. SCG is 'not mentioned' in the coverage checked, which is not the same as 'did not bid'.</t>
  </si>
  <si>
    <t xml:space="preserve">SOURCE DISCIPLINE: FY2025 revenue (USD 291m) and EBITDA (USD 65m) are REPORTED by several outlets, attributed to Nippon Paint; primary release not read; not in AkzoNobel's release. The synergy-needed block is ILLUSTRATIVE: it cannot tell synergies apart from a lower discount rate or a better business than reported. v2 DCF values are pasted (red) from the v2 model with the source cell named.</t>
  </si>
  <si>
    <t xml:space="preserve">LIMITATIONS: the 'high single digits % of sales' savings figure is from one outlet (SRC-048) with attribution not stated; integration cost and ramp are illustrative; synergies are modelled as arriving at full run-rate immediately, which understates the run-rate needed.</t>
  </si>
  <si>
    <t xml:space="preserve">Buyer Strategic Fit — Evidence-Based Analysis</t>
  </si>
  <si>
    <t xml:space="preserve">Buyer</t>
  </si>
  <si>
    <t xml:space="preserve">Fit Category</t>
  </si>
  <si>
    <t xml:space="preserve">Evidence</t>
  </si>
  <si>
    <t xml:space="preserve">Strategic Implication</t>
  </si>
  <si>
    <t xml:space="preserve">Potential Synergy</t>
  </si>
  <si>
    <t xml:space="preserve">OUTCOME (Oct 2026): what is now known</t>
  </si>
  <si>
    <t xml:space="preserve">What the September evidence got right / missed</t>
  </si>
  <si>
    <t xml:space="preserve">Nippon Paint Holdings</t>
  </si>
  <si>
    <t xml:space="preserve">Geographic Fit</t>
  </si>
  <si>
    <t xml:space="preserve">Confirmed decorative-paints operations in all four target countries: #2 decorative player in Malaysia (26-year history), ~50% JV market share in Thailand's decorative segment, decorative production unit near Ho Chi Minh City (Vietnam), and a technical alliance in Indonesia (search aggregation, not independently verified against a Nippon Paint primary filing this pass).</t>
  </si>
  <si>
    <t xml:space="preserve">Highest geographic overlap of any named potential buyer — the SEA asset would consolidate, not extend, Nippon Paint's regional footprint.</t>
  </si>
  <si>
    <t xml:space="preserve">Facility rationalization and distribution consolidation potential; but overlap this extensive raises a genuine question of whether merger control review in one or more of the four markets could be material (see Regulatory Considerations row).</t>
  </si>
  <si>
    <t xml:space="preserve">PUBLIC FACT: Nippon Paint is the buyer of AkzoNobel's Decorative Paints in seven countries (SRC-037).</t>
  </si>
  <si>
    <t xml:space="preserve">Right: rated the highest geographic overlap, the closest product match and the most plausible cost-synergy basis; rated 'most plausible' only by overlap logic, not by any bid information. Missed: the perimeter (seven countries, not four) and that the sale would be to a single buyer rather than country by country.</t>
  </si>
  <si>
    <t xml:space="preserve">Product Fit</t>
  </si>
  <si>
    <t xml:space="preserve">Nippon Paint's Malaysia and Thailand operations are explicitly decorative-paints businesses, directly matching the reported EUR 300m decorative perimeter under review.</t>
  </si>
  <si>
    <t xml:space="preserve">Closest like-for-like product match among all named buyers.</t>
  </si>
  <si>
    <t xml:space="preserve">Potential for brand portfolio rationalization (Dulux alongside Nippon Paint's own regional decorative brands) — could be dis-synergy risk (cannibalization) as much as synergy, not modeled here.</t>
  </si>
  <si>
    <t xml:space="preserve">Distribution Fit</t>
  </si>
  <si>
    <t xml:space="preserve">Established multi-decade dealer/distributor networks in Malaysia and Thailand specifically.</t>
  </si>
  <si>
    <t xml:space="preserve">Acquiring AkzoNobel's SEA decorative network could be additive in weaker markets (Vietnam, Indonesia) and overlapping in stronger ones (Malaysia, Thailand).</t>
  </si>
  <si>
    <t xml:space="preserve">Route-to-market consolidation in Vietnam/Indonesia; potential dealer overlap/rationalization in Malaysia/Thailand.</t>
  </si>
  <si>
    <t xml:space="preserve">Manufacturing Fit</t>
  </si>
  <si>
    <t xml:space="preserve">Nippon Paint Malaysia acquired CMI Construction Material Industry and an 85% stake in CMI Marketing (Feb 2022), expanding Malaysian manufacturing capacity.</t>
  </si>
  <si>
    <t xml:space="preserve">Existing regional manufacturing footprint could absorb AkzoNobel's SEA decorative sites or be rationalized against them.</t>
  </si>
  <si>
    <t xml:space="preserve">Potential manufacturing footprint optimization (illustrative — no site-level capacity data available for either company to quantify).</t>
  </si>
  <si>
    <t xml:space="preserve">Customer Fit</t>
  </si>
  <si>
    <t xml:space="preserve">Nippon Paint's outright decorative-paints market leadership position in Thailand and Malaysia implies an established dealer/retail/contractor customer base in the decorative segment.</t>
  </si>
  <si>
    <t xml:space="preserve">Customer base overlap is likely high in Malaysia/Thailand; complementary in Vietnam/Indonesia where Nippon Paint's position is less dominant.</t>
  </si>
  <si>
    <t xml:space="preserve">Cross-sell of AkzoNobel's Sikkens/International-adjacent product lines (if any transfer) into existing Nippon Paint customer relationships — illustrative, not quantified.</t>
  </si>
  <si>
    <t xml:space="preserve">Procurement Opportunity</t>
  </si>
  <si>
    <t xml:space="preserve">No public disclosure of Nippon Paint's or AkzoNobel SEA's raw material procurement scale or terms.</t>
  </si>
  <si>
    <t xml:space="preserve">Combined regional volume (titanium dioxide, resins, packaging) could support improved input pricing.</t>
  </si>
  <si>
    <t xml:space="preserve">ILLUSTRATIVE procurement synergy — see Synergy_Analysis tab for a disclosed-methodology estimate.</t>
  </si>
  <si>
    <t xml:space="preserve">Cross-Selling Opportunity</t>
  </si>
  <si>
    <t xml:space="preserve">Nippon Paint's broader coatings portfolio (automotive OEM systems across Japan/Thailand/Indonesia/Vietnam/Philippines) sits alongside its decorative business.</t>
  </si>
  <si>
    <t xml:space="preserve">Shared dealer/distributor relationships in some markets could support cross-selling between decorative and other coatings categories, though the target perimeter here is decorative-only.</t>
  </si>
  <si>
    <t xml:space="preserve">Limited within the strict decorative-only perimeter modeled in this project; potential upside if Nippon Paint bundles offerings post-close (not modeled).</t>
  </si>
  <si>
    <t xml:space="preserve">Cost Synergies</t>
  </si>
  <si>
    <t xml:space="preserve">Overlapping SEA manufacturing/distribution infrastructure per Geographic and Manufacturing Fit rows.</t>
  </si>
  <si>
    <t xml:space="preserve">Among all named buyers, Nippon Paint has the most plausible basis for SG&amp;A, distribution and procurement cost synergies given existing scale in the same four markets.</t>
  </si>
  <si>
    <t xml:space="preserve">See Synergy_Analysis tab for illustrative quantification and methodology.</t>
  </si>
  <si>
    <t xml:space="preserve">Revenue Synergies</t>
  </si>
  <si>
    <t xml:space="preserve">Established decorative brand and distribution leadership in Malaysia and Thailand specifically.</t>
  </si>
  <si>
    <t xml:space="preserve">Limited incremental revenue synergy in markets where Nippon Paint already leads; more plausible in Vietnam/Indonesia where its position is comparatively weaker.</t>
  </si>
  <si>
    <t xml:space="preserve">See Synergy_Analysis tab.</t>
  </si>
  <si>
    <t xml:space="preserve">Financial Capacity</t>
  </si>
  <si>
    <t xml:space="preserve">Nippon Paint Holdings' market cap was reported around USD 15.1bn and enterprise value around USD 21.4bn as of late 2025/early 2026 (03_Trading_Comps, SRC aggregation) — among the larger paints-sector balance sheets.</t>
  </si>
  <si>
    <t xml:space="preserve">Financial capacity appears more than sufficient to fund a EUR 300m-revenue decorative asset acquisition at any of the valuation ranges modeled in 05_Valuation.</t>
  </si>
  <si>
    <t xml:space="preserve">n/a</t>
  </si>
  <si>
    <t xml:space="preserve">Transaction Complexity</t>
  </si>
  <si>
    <t xml:space="preserve">Nippon Paint separately made a EUR 7.5bn unsolicited (and rejected) offer for AkzoNobel's entire global Decorative Paints segment in 2026, per 04_Precedent_Transactions.</t>
  </si>
  <si>
    <t xml:space="preserve">An existing adversarial/competitive dynamic between Nippon Paint and AkzoNobel's board (given the rejected global bid) could complicate a bilateral SEA-only negotiation, or alternatively could make Nippon Paint a highly motivated bidder for a smaller, more digestible piece of the same underlying asset.</t>
  </si>
  <si>
    <t xml:space="preserve">REPORTED: the 2026 whole-division offer was rejected (per 04_Precedent_Transactions); the SEA business was then signed to Nippon Paint on 3 Oct 2026. No public explanation of how the two relate.</t>
  </si>
  <si>
    <t xml:space="preserve">Right: flagged the adversarial dynamic as a real complication and also as possible motivation. Which one it was is not knowable from public evidence; no inference is drawn.</t>
  </si>
  <si>
    <t xml:space="preserve">Regulatory Considerations</t>
  </si>
  <si>
    <t xml:space="preserve">Given Nippon Paint's #2 position in Malaysia and ~50% JV share in Thailand's decorative segment, combining with AkzoNobel's decorative business in those same markets would meaningfully increase combined market share.</t>
  </si>
  <si>
    <t xml:space="preserve">Highest merger-control/antitrust risk among all named buyers specifically in Malaysia and Thailand; a country-by-country sale structure (per the ION article's stated optionality) could mitigate this by excluding Nippon Paint from the markets where overlap is greatest.</t>
  </si>
  <si>
    <t xml:space="preserve">REPORTED: Indonesia is a separate transaction expected to close late 2026; the other transactions mid-2027; regulatory approvals are closing conditions (SRC-037). No public statement of why the structure was chosen; none is speculated here.</t>
  </si>
  <si>
    <t xml:space="preserve">Right: flagged this as the highest merger-control risk and that a country-by-country structure might mitigate it. The announced structure is staged, with approvals as conditions; whether review will be material is not yet known.</t>
  </si>
  <si>
    <t xml:space="preserve">Kansai Paint</t>
  </si>
  <si>
    <t xml:space="preserve">Described in market research as having 'a wide range of product offerings and market presence in Southeast Asia and Japan' (Mordor Intelligence aggregation); specific country-level decorative footprint in Indonesia/Thailand/Malaysia/Vietnam not independently confirmed this pass.</t>
  </si>
  <si>
    <t xml:space="preserve">Plausible regional fit, though evidentiary basis is weaker (less specific) than for Nippon Paint.</t>
  </si>
  <si>
    <t xml:space="preserve">Not quantified — insufficient country-level evidence gathered this pass.</t>
  </si>
  <si>
    <t xml:space="preserve">No evidence either way: Kansai Paint is not mentioned in the announcement coverage checked.</t>
  </si>
  <si>
    <t xml:space="preserve">Neither confirmed nor refuted. September rated the evidence weak and said so.</t>
  </si>
  <si>
    <t xml:space="preserve">Kansai Paint's product mix per its own FY2025 financial disclosures spans both decorative/architectural and industrial/automotive coatings.</t>
  </si>
  <si>
    <t xml:space="preserve">Plausible product overlap with the decorative perimeter, though the company's automotive-coatings strength (per peer commentary) suggests industrial/OEM coatings may be a larger share of its mix than decorative.</t>
  </si>
  <si>
    <t xml:space="preserve">Not quantified.</t>
  </si>
  <si>
    <t xml:space="preserve">Kansai Paint's enterprise value was reported around USD 3.99bn (03_Trading_Comps), the smallest of the major strategics in this buyer universe, trading at the lowest EV/EBITDA in the comp set (~6.85x-6.9x).</t>
  </si>
  <si>
    <t xml:space="preserve">Financial capacity for a EUR 300m-revenue acquisition appears adequate but with less headroom than Nippon Paint, PPG or Sherwin-Williams; a low trading multiple could also mean Kansai Paint would face more shareholder scrutiny of acquisition premiums paid.</t>
  </si>
  <si>
    <t xml:space="preserve">Transaction Complexity / Regulatory Considerations</t>
  </si>
  <si>
    <t xml:space="preserve">No specific SEA country-level market-share data gathered this pass.</t>
  </si>
  <si>
    <t xml:space="preserve">Cannot be assessed with confidence from public information gathered in this research pass.</t>
  </si>
  <si>
    <t xml:space="preserve">n/a — flagged as an open item for further research, not assumed benign.</t>
  </si>
  <si>
    <t xml:space="preserve">Asian Paints / Berger Paints (same group)</t>
  </si>
  <si>
    <t xml:space="preserve">Asian Paints divested its own Indonesian operations (sold to the Singapore arm of Omega Property Investments, SGD 6.8m) — search aggregation, not independently verified against a primary filing. Group affiliate Berger Paints has manufacturing in Malaysia and Singapore and serves Indonesia, Vietnam, Brunei and Pacific-island markets.</t>
  </si>
  <si>
    <t xml:space="preserve">Mixed picture: the group has previously exited (not expanded into) Indonesia specifically, while Berger retains some regional manufacturing and market presence elsewhere in SEA. A prior Indonesia divestiture is a substantive contrary data point worth flagging to a reader assessing this buyer's strategic appetite for the region.</t>
  </si>
  <si>
    <t xml:space="preserve">Re-entry into Indonesia via acquisition rather than organic build could be a plausible rationale, though the prior exit raises a real question about strategic commitment — not resolved by public information gathered this pass.</t>
  </si>
  <si>
    <t xml:space="preserve">No evidence either way: Asian Paints / Berger are not mentioned in the coverage checked.</t>
  </si>
  <si>
    <t xml:space="preserve">Neither confirmed nor refuted. September noted the earlier Indonesia exit as a contrary data point.</t>
  </si>
  <si>
    <t xml:space="preserve">Both Asian Paints and Berger Paints are decorative-paints-focused businesses (unlike Sherwin-Williams/PPG's broader industrial mix).</t>
  </si>
  <si>
    <t xml:space="preserve">Strong like-for-like product match with the target perimeter.</t>
  </si>
  <si>
    <t xml:space="preserve">Asian Paints: EV approx. INR 2.23tn (~EUR 24bn equivalent, 03_Trading_Comps). Berger Paints: market cap approx. INR 521bn; EV/EBITDA could not be reliably established (03_Trading_Comps).</t>
  </si>
  <si>
    <t xml:space="preserve">Asian Paints has substantial financial capacity; Berger Paints' balance sheet data gathered this pass is less reliable, so capacity is less clearly evidenced for Berger specifically.</t>
  </si>
  <si>
    <t xml:space="preserve">No confirmed current SEA market-share overlap identified for either Asian Paints or Berger Paints in the four target countries specifically (Berger's presence noted above is manufacturing/distribution, not confirmed market-share data).</t>
  </si>
  <si>
    <t xml:space="preserve">Likely lower merger-control risk than Nippon Paint given lower confirmed overlap, though this is an absence-of-evidence finding, not a confirmed absence of overlap.</t>
  </si>
  <si>
    <t xml:space="preserve">Sherwin-Williams</t>
  </si>
  <si>
    <t xml:space="preserve">Described as having 'a strong presence in Asia Pacific' in general company profiles, but no SEA decorative-paints-specific market share or site data was found in this research pass; the company's confirmed recent M&amp;A activity (BASF Suvinil, Brazil; German/European coatings bolt-ons) is concentrated in the Americas and Europe, not Asia.</t>
  </si>
  <si>
    <t xml:space="preserve">Weakest evidenced SEA geographic fit among the named strategics — an SEA acquisition would be more of a market-entry move than a bolt-on.</t>
  </si>
  <si>
    <t xml:space="preserve">Market-entry synergies (platform/beachhead value) rather than cost/overlap synergies — inherently harder to quantify and not modeled here.</t>
  </si>
  <si>
    <t xml:space="preserve">No evidence either way: Sherwin-Williams is not mentioned in the coverage checked.</t>
  </si>
  <si>
    <t xml:space="preserve">Neither confirmed nor refuted. September rated its SEA fit weakest; that rating is unchanged by the outcome.</t>
  </si>
  <si>
    <t xml:space="preserve">Reported market cap in the USD 72-85bn range (with material inconsistency across sources, flagged in 03_Trading_Comps) and enterprise value around USD 91.7bn — by far the largest balance sheet among buyers in this universe. Recently completed a USD 1.15bn all-cash acquisition of BASF's Brazilian Suvinil business (2025), demonstrating capacity and appetite for comparable-sized decorative-paints carve-out deals.</t>
  </si>
  <si>
    <t xml:space="preserve">Financial capacity is clearly not a constraint; the Suvinil deal is direct evidence of recent appetite for exactly this type of transaction (single-country decorative paints carve-out from a diversified chemicals/paints major).</t>
  </si>
  <si>
    <t xml:space="preserve">No confirmed SEA decorative market share identified for Sherwin-Williams in this research pass.</t>
  </si>
  <si>
    <t xml:space="preserve">Likely low merger-control risk in SEA specifically, given limited-to-no existing regional decorative market share — though this is again an absence-of-evidence finding.</t>
  </si>
  <si>
    <t xml:space="preserve">PPG Industries</t>
  </si>
  <si>
    <t xml:space="preserve">PPG's Global Architectural Coatings segment operates across multiple geographies including Asia Pacific, but no SEA-specific decorative market-share or site data was found this pass. PPG's most recent major architectural-coatings divestiture (US/Canada business to American Industrial Partners, 2024) suggests a strategic pullback from lower-margin decorative/architectural categories generally, which cuts against rather than for an SEA decorative acquisition thesis.</t>
  </si>
  <si>
    <t xml:space="preserve">The 2024 US/Canada divestiture is a meaningful contrary data point: it suggests PPG has been de-emphasizing, not expanding, its decorative/architectural coatings exposure recently.</t>
  </si>
  <si>
    <t xml:space="preserve">Not quantified — strategic direction evidenced by the 2024 divestiture argues against PPG as a highly motivated buyer for this specific asset class, though PPG remains named in market commentary as a plausible bidder.</t>
  </si>
  <si>
    <t xml:space="preserve">No evidence either way: PPG is not mentioned in the coverage checked.</t>
  </si>
  <si>
    <t xml:space="preserve">Neither confirmed nor refuted. September argued the 2024 US/Canada divestiture pointed away from PPG; the outcome neither supports nor contradicts that.</t>
  </si>
  <si>
    <t xml:space="preserve">Reported market cap approximately USD 24.5bn (Sept 2026); FY2025 revenue approximately USD 15.87bn.</t>
  </si>
  <si>
    <t xml:space="preserve">Financial capacity for a EUR 300m-revenue acquisition appears more than adequate.</t>
  </si>
  <si>
    <t xml:space="preserve">Siam Cement Group (SCG)</t>
  </si>
  <si>
    <t xml:space="preserve">SCG is confirmed present in all four target countries (Thailand, Indonesia, Malaysia, Vietnam) plus the rest of ASEAN, as the largest cement/building-materials group headquartered in the region.</t>
  </si>
  <si>
    <t xml:space="preserve">Best-evidenced pure geographic overlap of any named buyer, and the only one specifically reported to be in preliminary discussions per the ION Analytics article.</t>
  </si>
  <si>
    <t xml:space="preserve">Distribution network overlap through SCG's existing building-materials retail/dealer channels across SEA — illustrative, not quantified given SCG's paints business is not separately broken out in public disclosure.</t>
  </si>
  <si>
    <t xml:space="preserve">NOT MENTIONED in the announcement coverage checked (SRC-037, SRC-038, SRC-039, SRC-040, SRC-041 to SRC-043, SRC-047, SRC-048). This does not show whether SCG bid.</t>
  </si>
  <si>
    <t xml:space="preserve">Missed or unprovable: September called SCG the only buyer 'reported to be in preliminary discussions' (ION Analytics, one source). The outcome gives no support for that, but cannot show it was wrong either.</t>
  </si>
  <si>
    <t xml:space="preserve">SCG's paint business sits within its 'Smart Living and Distribution and Retail' building-materials segment — paint is one category within a much broader building-materials portfolio (cement, construction materials), not a dedicated paints/coatings pure-play like the other named buyers.</t>
  </si>
  <si>
    <t xml:space="preserve">Product fit is real but structurally different: SCG would likely value the asset as a building-materials bolt-on and channel-fill opportunity rather than a coatings-sector strategic consolidation, which could affect both valuation approach and post-close integration model.</t>
  </si>
  <si>
    <t xml:space="preserve">Cross-sell into SCG's existing building-materials retail/contractor channel (cement, tiles, other construction products) alongside paint — a distinctive synergy thesis not available to the pure-play coatings buyers.</t>
  </si>
  <si>
    <t xml:space="preserve">SCG reported FY2024 consolidated revenue of approximately THB 508.6bn (~USD 14.9bn) and EBITDA of approximately THB 49.6bn.</t>
  </si>
  <si>
    <t xml:space="preserve">Very large diversified balance sheet; financial capacity for a EUR 300m-revenue decorative paints acquisition is clearly not a constraint.</t>
  </si>
  <si>
    <t xml:space="preserve">SCG operates an extensive building-materials retail and distribution network across Thailand and the broader ASEAN region as part of its core business.</t>
  </si>
  <si>
    <t xml:space="preserve">Existing retail/dealer infrastructure could absorb decorative paints distribution with limited incremental build cost, particularly in Thailand where SCG's home-market channel strength is greatest.</t>
  </si>
  <si>
    <t xml:space="preserve">Channel consolidation / shared logistics — illustrative, not quantified.</t>
  </si>
  <si>
    <t xml:space="preserve">SCG's core business (cement, building materials) does not directly overlap with AkzoNobel's decorative paints market share in the way Nippon Paint's does — SCG's own paints business is not separately broken out in public disclosure, so its current decorative paints market share cannot be sized from sources gathered this pass.</t>
  </si>
  <si>
    <t xml:space="preserve">Likely lower decorative-paints-specific merger-control risk than Nippon Paint, though this cannot be confirmed without SCG's segment-level paints market share, which is not publicly disclosed.</t>
  </si>
  <si>
    <t xml:space="preserve">n/a — flagged as an open item, not assumed benign.</t>
  </si>
  <si>
    <t xml:space="preserve">Columns F-G were added in October 2026. Columns A-E are the September 2026 analysis, unchanged. 'Not mentioned' means absent from the coverage checked; no bidder list for this process is public and none is claimed.</t>
  </si>
  <si>
    <t xml:space="preserve">Financial (Private Equity) Investors — Scenario Note</t>
  </si>
  <si>
    <t xml:space="preserve">No financial/private-equity investor is named in the ION Analytics article as a party to this process — the article discusses strategic buyers only (SCG and the global paints majors). This section is therefore SCENARIO-BASED analyst commentary, not evidence-anchored like the Buyer_Fit_Matrix tab, and is labeled accordingly.</t>
  </si>
  <si>
    <t xml:space="preserve">PLAUSIBILITY CONSIDERATIONS (illustrative, not evidenced):</t>
  </si>
  <si>
    <t xml:space="preserve">  - Regional buyout funds with existing consumer/industrials portfolios in SEA (e.g., funds with prior building-materials or branded-consumer-goods deals in Indonesia, Thailand, Vietnam) could view a multi-country decorative paints platform as a standalone buy-and-build platform investment, similar in structure to American Industrial Partners' 2024 acquisition of PPG's US/Canada architectural coatings unit (04_Precedent_Transactions) — a financial sponsor acquiring a carved-out, lower-growth paints business.</t>
  </si>
  <si>
    <t xml:space="preserve">  - A financial sponsor would likely value the asset on a standalone LBO/cash-flow basis (see 02_Financial_Model DCF) rather than applying the strategic revenue/cost synergy premia discussed for trade buyers above, which is consistent with the comparatively low EV/Revenue multiple observed in the PPG/American Industrial Partners precedent (0.28x, 04_Precedent_Transactions) versus strategic-buyer precedents.</t>
  </si>
  <si>
    <t xml:space="preserve">  - A financial sponsor would also need a credible standalone management team and carve-out infrastructure (ERP, HR, finance) given the TSA/stranded-cost assumptions modeled in 02_Financial_Model — this is a real execution consideration for a sponsor bid versus a strategic bid where the buyer's existing SEA infrastructure could substitute.</t>
  </si>
  <si>
    <t xml:space="preserve">No specific fund is named here because doing so would not be evidence-based — this project follows its sourcing discipline even in a section where the underlying process fact (whether any sponsor is actually involved) is simply not publicly known.</t>
  </si>
  <si>
    <t xml:space="preserve">Buyer-Specific Synergy Analysis (ILLUSTRATIVE — methodology disclosed)</t>
  </si>
  <si>
    <t xml:space="preserve">BASE CASE = ILLUSTRATIVE ASSUMPTION throughout this tab. No AkzoNobel- or buyer-specific synergy figures are publicly disclosed for this transaction; all values below are constructed from the SEA carve-out model (02_Financial_Model) using standard M&amp;A synergy-sizing heuristics, clearly labeled as such. Built out for the two buyers with the strongest evidenced SEA overlap: Nippon Paint Holdings and Siam Cement Group.</t>
  </si>
  <si>
    <t xml:space="preserve">SEA Carve-Out FY2026E Revenue (EUR mm) — from financial model</t>
  </si>
  <si>
    <t xml:space="preserve">SEA Carve-Out FY2026E EBITDA (EUR mm) — from financial model</t>
  </si>
  <si>
    <t xml:space="preserve">Buyer: Nippon Paint Holdings</t>
  </si>
  <si>
    <t xml:space="preserve">Synergy Category</t>
  </si>
  <si>
    <t xml:space="preserve">Low (% of Revenue)</t>
  </si>
  <si>
    <t xml:space="preserve">High (% of Revenue)</t>
  </si>
  <si>
    <t xml:space="preserve">Low (EUR mm)</t>
  </si>
  <si>
    <t xml:space="preserve">High (EUR mm)</t>
  </si>
  <si>
    <t xml:space="preserve">Methodology / Rationale</t>
  </si>
  <si>
    <t xml:space="preserve">Revenue synergies (cross-sell, distribution)</t>
  </si>
  <si>
    <t xml:space="preserve">Illustrative 1.0-2.5% of target revenue, reflecting cross-sell into Nippon Paint's existing Vietnam/Indonesia decorative dealer relationships where its own share is weaker than in Malaysia/Thailand. Sizing heuristic only — no disclosed figure exists for this or any comparable transaction reviewed in 04_Precedent_Transactions.</t>
  </si>
  <si>
    <t xml:space="preserve">Cost synergies (procurement, SG&amp;A, distribution)</t>
  </si>
  <si>
    <t xml:space="preserve">Illustrative 2.0-4.0% of target revenue in procurement and SG&amp;A/distribution cost synergy, reflecting the highest degree of manufacturing/distribution overlap among named buyers (Malaysia, Thailand). Midpoint of typical strategic-acquirer cost synergy benchmarks (2-5% of target revenue) for a highly overlapping regional bolt-on; upper end tempered by the modest absolute scale of the target (EUR 300m revenue) relative to fixed integration costs.</t>
  </si>
  <si>
    <t xml:space="preserve">Total illustrative run-rate synergies (EUR mm)</t>
  </si>
  <si>
    <t xml:space="preserve">Buyer: Siam Cement Group (SCG)</t>
  </si>
  <si>
    <t xml:space="preserve">Illustrative 1.5-3.5% of target revenue, reflecting cross-sell of decorative paints through SCG's existing building-materials retail/contractor distribution network across Thailand and the broader ASEAN region — a distribution-channel synergy not available to the pure-play coatings buyers. Sizing heuristic only.</t>
  </si>
  <si>
    <t xml:space="preserve">Illustrative 1.0-2.5% of target revenue — lower than Nippon Paint's cost synergy range because SCG's core business (cement, building materials) offers channel/logistics overlap but limited paints-manufacturing-specific overlap (no confirmed SCG decorative paints manufacturing scale to consolidate against).</t>
  </si>
  <si>
    <t xml:space="preserve">SENSITIVITY: These ranges are first-order illustrative estimates using standard M&amp;A synergy-sizing conventions (a percentage of target revenue), not a bottom-up buyer-specific study. A real sell-side process would require confidential buyer input (their own cost base, footprint plans, and integration approach) to size synergies credibly — this is explicitly outside what public information can support. These figures should be treated as illustrating relative synergy POTENTIAL across buyer types (regional paints strategic vs. diversified building-materials conglomerate), not as a precise forecast for any deal.</t>
  </si>
  <si>
    <t xml:space="preserve">Buyer outcome summary (October 2026)</t>
  </si>
  <si>
    <t xml:space="preserve">Evidence from announcement coverage only. A bidder list for this process is not public; none is claimed.</t>
  </si>
  <si>
    <t xml:space="preserve">September rating (unchanged)</t>
  </si>
  <si>
    <t xml:space="preserve">Outcome (Oct 2026)</t>
  </si>
  <si>
    <t xml:space="preserve">Got right / missed</t>
  </si>
  <si>
    <t xml:space="preserve">Classification</t>
  </si>
  <si>
    <t xml:space="preserve">Strongest fit; highest regulatory risk</t>
  </si>
  <si>
    <t xml:space="preserve">PUBLIC FACT</t>
  </si>
  <si>
    <t xml:space="preserve">Plausible, weakly evidenced</t>
  </si>
  <si>
    <t xml:space="preserve">UNAVAILABLE</t>
  </si>
  <si>
    <t xml:space="preserve">Asian Paints / Berger Paints</t>
  </si>
  <si>
    <t xml:space="preserve">Like-for-like product, mixed geography, prior Indonesia exit</t>
  </si>
  <si>
    <t xml:space="preserve">Weakest SEA fit, ample capacity</t>
  </si>
  <si>
    <t xml:space="preserve">Direction of travel (2024 divestiture) argued against</t>
  </si>
  <si>
    <t xml:space="preserve">Best geographic overlap; reported in preliminary talks (ION, one source)</t>
  </si>
  <si>
    <t xml:space="preserve">Regulatory outcome (Nippon Paint): staged closings, Indonesia first (late 2026), the rest mid-2027, subject to regulatory approvals, customary closing conditions and carve-out work. REPORTED (SRC-037, SRC-039). No view is offered on why the structure was chosen.</t>
  </si>
  <si>
    <t xml:space="preserve">Synergy analysis v2: Nippon Paint on reported FY2025 revenue, and synergies needed to justify the price (ILLUSTRATIVE)</t>
  </si>
  <si>
    <t xml:space="preserve">ILLUSTRATIVE ASSUMPTION throughout. No buyer synergy figure from either party is public (SRC-048 carries one unattributed press figure). Pasted model values are red, each with its source cell. Blue = input, black = formula.</t>
  </si>
  <si>
    <t xml:space="preserve">A. Inputs</t>
  </si>
  <si>
    <t xml:space="preserve">Value</t>
  </si>
  <si>
    <t xml:space="preserve">Source / classification</t>
  </si>
  <si>
    <t xml:space="preserve">FY2025 reported revenue (EUR m)</t>
  </si>
  <si>
    <t xml:space="preserve">REPORTED; v2 model Assumptions!B26 (USD 291m / 1.125). Reported by several outlets, attributed to Nippon Paint; primary release not read; not in AkzoNobel's release.</t>
  </si>
  <si>
    <t xml:space="preserve">FY2025 reported EBITDA (EUR m)</t>
  </si>
  <si>
    <t xml:space="preserve">REPORTED; v2 model Assumptions!B28</t>
  </si>
  <si>
    <t xml:space="preserve">Announced enterprise value (EUR m)</t>
  </si>
  <si>
    <t xml:space="preserve">PUBLIC FACT; v2 model Assumptions!B10 (SRC-037)</t>
  </si>
  <si>
    <t xml:space="preserve">Standalone DCF EV: Base (EUR m)</t>
  </si>
  <si>
    <t xml:space="preserve">ANALYST CALCULATION; v2 model Cases!B35 (seller / standalone)</t>
  </si>
  <si>
    <t xml:space="preserve">Standalone DCF EV: Buyer case (EUR m)</t>
  </si>
  <si>
    <t xml:space="preserve">ANALYST CALCULATION; v2 model Cases!B66 (Nippon Paint's 2026 projection, single-source PCI, then a fade)</t>
  </si>
  <si>
    <t xml:space="preserve">WACC</t>
  </si>
  <si>
    <t xml:space="preserve">ANALYST CALCULATION; v2 model Assumptions!B92</t>
  </si>
  <si>
    <t xml:space="preserve">Terminal growth</t>
  </si>
  <si>
    <t xml:space="preserve">ILLUSTRATIVE; v2 model Assumptions!B93</t>
  </si>
  <si>
    <t xml:space="preserve">Blended statutory tax rate</t>
  </si>
  <si>
    <t xml:space="preserve">ANALYST CALCULATION; v2 model Assumptions!B66</t>
  </si>
  <si>
    <t xml:space="preserve">One-off integration cost, as a multiple of run-rate annual saving (x)</t>
  </si>
  <si>
    <t xml:space="preserve">ILLUSTRATIVE ASSUMPTION. No source; 1.0x is a common rule of thumb, not evidence. Incurred at close, tax-effected.</t>
  </si>
  <si>
    <t xml:space="preserve">B. September heuristics re-applied to reported FY2025 revenue (Nippon Paint)</t>
  </si>
  <si>
    <t xml:space="preserve">Low %</t>
  </si>
  <si>
    <t xml:space="preserve">High %</t>
  </si>
  <si>
    <t xml:space="preserve">Low (EUR m)</t>
  </si>
  <si>
    <t xml:space="preserve">High (EUR m)</t>
  </si>
  <si>
    <t xml:space="preserve">Note</t>
  </si>
  <si>
    <t xml:space="preserve">Revenue synergies (cross-sell, distribution): sales uplift</t>
  </si>
  <si>
    <t xml:space="preserve">September percentages kept (ILLUSTRATIVE). These are extra SALES, not profit.</t>
  </si>
  <si>
    <t xml:space="preserve">September percentages kept (ILLUSTRATIVE). These are EBITDA savings.</t>
  </si>
  <si>
    <t xml:space="preserve">September-style total (adds sales uplift to cost savings, as the September sheet did)</t>
  </si>
  <si>
    <t xml:space="preserve">Reported EBITDA margin used to turn the sales uplift into profit</t>
  </si>
  <si>
    <t xml:space="preserve">Profit-equivalent run-rate (cost savings + sales uplift x margin)</t>
  </si>
  <si>
    <t xml:space="preserve">Corrects a September simplification (adding revenue to cost savings). Both shown; the profit-equivalent is the comparable figure.</t>
  </si>
  <si>
    <t xml:space="preserve">Reported press figure: 'annual savings in the high single digits as a % of sales' (7% to 9% taken as 'high single digits')</t>
  </si>
  <si>
    <t xml:space="preserve">REPORTED, one outlet (SRC-048), attribution not stated (not shown to be Nippon Paint's). The 7-9% reading of 'high single digits' is an ANALYST interpretation.</t>
  </si>
  <si>
    <t xml:space="preserve">C. Synergies needed to justify the price</t>
  </si>
  <si>
    <t xml:space="preserve">Base DCF</t>
  </si>
  <si>
    <t xml:space="preserve">Buyer DCF</t>
  </si>
  <si>
    <t xml:space="preserve">Announced EV (EUR m)</t>
  </si>
  <si>
    <t xml:space="preserve">Standalone DCF EV (EUR m)</t>
  </si>
  <si>
    <t xml:space="preserve">Seller / standalone and Nippon-projection cases from the v2 model, used as given.</t>
  </si>
  <si>
    <t xml:space="preserve">Gap: price above standalone DCF (EUR m)</t>
  </si>
  <si>
    <t xml:space="preserve">The amount any synergy, lower discount rate or better business would have to explain.</t>
  </si>
  <si>
    <t xml:space="preserve">Gap as % of announced EV</t>
  </si>
  <si>
    <t xml:space="preserve">After-tax capitalisation factor per EUR 1 of run-rate saving: (1 - t) / (WACC - g)</t>
  </si>
  <si>
    <t xml:space="preserve">Perpetuity growing at g from the first year; full run-rate immediately (flatters the result: a real ramp needs more).</t>
  </si>
  <si>
    <t xml:space="preserve">Net value of EUR 1 of run-rate saving after the one-off integration cost</t>
  </si>
  <si>
    <t xml:space="preserve">Integration cost = multiple x saving, tax-effected.</t>
  </si>
  <si>
    <t xml:space="preserve">RUN-RATE ANNUAL COST SAVING NEEDED (EUR m, pre-tax)</t>
  </si>
  <si>
    <t xml:space="preserve">ILLUSTRATIVE. Needed to close the gap on these assumptions.</t>
  </si>
  <si>
    <t xml:space="preserve">  as % of FY2025 reported revenue</t>
  </si>
  <si>
    <t xml:space="preserve">  as % of FY2025 reported EBITDA</t>
  </si>
  <si>
    <t xml:space="preserve">  vs September-style cost-saving range, high end (EUR m)</t>
  </si>
  <si>
    <t xml:space="preserve">4.0% of revenue.</t>
  </si>
  <si>
    <t xml:space="preserve">  multiple of the high end of the cost-saving heuristic</t>
  </si>
  <si>
    <t xml:space="preserve">  vs the reported 'high single digits % of sales' range (EUR m): low / high</t>
  </si>
  <si>
    <t xml:space="preserve">Columns B / C here show the low and high of that range, not the cases.</t>
  </si>
  <si>
    <t xml:space="preserve">  needed saving as multiple of the high end of the reported range (Base / Buyer)</t>
  </si>
  <si>
    <t xml:space="preserve">HOW TO READ THIS: the gap between the price and the standalone DCF could equally reflect (a) synergies, (b) a lower discount rate than the model's 8.82%, (c) a better business than the reported FY2025 numbers show, or (d) strategic value not in cash flows. This analysis cannot tell these apart. It only shows what the synergy explanation alone would require.</t>
  </si>
  <si>
    <t xml:space="preserve">The Base-case gap uses the seller / standalone view; the Buyer case already embeds Nippon Paint's own 2026 projection (single-source, PCI Magazine), so part of what a buyer might call synergy is in that case. Neither is a forecast of Nippon Paint's actual plan.</t>
  </si>
</sst>
</file>

<file path=xl/styles.xml><?xml version="1.0" encoding="utf-8"?>
<styleSheet xmlns="http://schemas.openxmlformats.org/spreadsheetml/2006/main">
  <numFmts count="7">
    <numFmt numFmtId="164" formatCode="General"/>
    <numFmt numFmtId="165" formatCode="#,##0.0"/>
    <numFmt numFmtId="166" formatCode="0.0%"/>
    <numFmt numFmtId="167" formatCode="#,##0.0;\(#,##0.0\);\-"/>
    <numFmt numFmtId="168" formatCode="0.00%"/>
    <numFmt numFmtId="169" formatCode="0.0\x"/>
    <numFmt numFmtId="170" formatCode="0.00"/>
  </numFmts>
  <fonts count="13">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9"/>
      <color rgb="FF555555"/>
      <name val="Arial"/>
      <family val="0"/>
      <charset val="1"/>
    </font>
    <font>
      <sz val="10"/>
      <color rgb="FF000000"/>
      <name val="Arial"/>
      <family val="0"/>
      <charset val="1"/>
    </font>
    <font>
      <b val="true"/>
      <sz val="10"/>
      <name val="Arial"/>
      <family val="0"/>
      <charset val="1"/>
    </font>
    <font>
      <b val="true"/>
      <sz val="10"/>
      <color rgb="FFFFFFFF"/>
      <name val="Arial"/>
      <family val="0"/>
      <charset val="1"/>
    </font>
    <font>
      <sz val="10"/>
      <color rgb="FF0000FF"/>
      <name val="Arial"/>
      <family val="0"/>
      <charset val="1"/>
    </font>
    <font>
      <b val="true"/>
      <sz val="10"/>
      <color rgb="FF000000"/>
      <name val="Arial"/>
      <family val="0"/>
      <charset val="1"/>
    </font>
    <font>
      <i val="true"/>
      <sz val="9"/>
      <color rgb="FFC00000"/>
      <name val="Arial"/>
      <family val="0"/>
      <charset val="1"/>
    </font>
    <font>
      <sz val="10"/>
      <color rgb="FFFF0000"/>
      <name val="Arial"/>
      <family val="0"/>
      <charset val="1"/>
    </font>
  </fonts>
  <fills count="8">
    <fill>
      <patternFill patternType="none"/>
    </fill>
    <fill>
      <patternFill patternType="gray125"/>
    </fill>
    <fill>
      <patternFill patternType="solid">
        <fgColor rgb="FF1F3864"/>
        <bgColor rgb="FF333333"/>
      </patternFill>
    </fill>
    <fill>
      <patternFill patternType="solid">
        <fgColor rgb="FFE2EFDA"/>
        <bgColor rgb="FFD9E2F3"/>
      </patternFill>
    </fill>
    <fill>
      <patternFill patternType="solid">
        <fgColor rgb="FFD9E2F3"/>
        <bgColor rgb="FFE2EFDA"/>
      </patternFill>
    </fill>
    <fill>
      <patternFill patternType="solid">
        <fgColor rgb="FFC6E0B4"/>
        <bgColor rgb="FFE2EFDA"/>
      </patternFill>
    </fill>
    <fill>
      <patternFill patternType="solid">
        <fgColor rgb="FFF8CBAD"/>
        <bgColor rgb="FFC6E0B4"/>
      </patternFill>
    </fill>
    <fill>
      <patternFill patternType="solid">
        <fgColor rgb="FFFFFF00"/>
        <bgColor rgb="FFFFFF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false" applyAlignment="true" applyProtection="false">
      <alignment horizontal="general" vertical="center"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6" fillId="3"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4" fontId="10" fillId="4" borderId="0" xfId="0" applyFont="true" applyBorder="false" applyAlignment="false" applyProtection="false">
      <alignment horizontal="general" vertical="bottom"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8" fillId="2" borderId="0" xfId="0" applyFont="true" applyBorder="false" applyAlignment="true" applyProtection="false">
      <alignment horizontal="general" vertical="top" textRotation="0" wrapText="true" indent="0"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5" fontId="10"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8" fillId="2" borderId="0" xfId="0" applyFont="true" applyBorder="false" applyAlignment="true" applyProtection="false">
      <alignment horizontal="left" vertical="center" textRotation="0" wrapText="true" indent="0" shrinkToFit="false"/>
      <protection locked="true" hidden="false"/>
    </xf>
    <xf numFmtId="164" fontId="8" fillId="2" borderId="0" xfId="0" applyFont="true" applyBorder="false" applyAlignment="true" applyProtection="false">
      <alignment horizontal="center" vertical="center" textRotation="0" wrapText="true" indent="0" shrinkToFit="false"/>
      <protection locked="true" hidden="false"/>
    </xf>
    <xf numFmtId="164" fontId="5" fillId="5" borderId="0" xfId="0" applyFont="true" applyBorder="false" applyAlignment="true" applyProtection="false">
      <alignment horizontal="general" vertical="top" textRotation="0" wrapText="true" indent="0" shrinkToFit="false"/>
      <protection locked="true" hidden="false"/>
    </xf>
    <xf numFmtId="164" fontId="5" fillId="6"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7" fontId="12" fillId="0" borderId="0" xfId="0" applyFont="true" applyBorder="false" applyAlignment="false" applyProtection="false">
      <alignment horizontal="general" vertical="bottom" textRotation="0" wrapText="false" indent="0" shrinkToFit="false"/>
      <protection locked="true" hidden="false"/>
    </xf>
    <xf numFmtId="168" fontId="12" fillId="0" borderId="0" xfId="0" applyFont="true" applyBorder="false" applyAlignment="false" applyProtection="false">
      <alignment horizontal="general" vertical="bottom" textRotation="0" wrapText="false" indent="0" shrinkToFit="false"/>
      <protection locked="true" hidden="false"/>
    </xf>
    <xf numFmtId="166" fontId="12" fillId="0" borderId="0" xfId="0" applyFont="true" applyBorder="false" applyAlignment="false" applyProtection="false">
      <alignment horizontal="general" vertical="bottom" textRotation="0" wrapText="false" indent="0" shrinkToFit="false"/>
      <protection locked="true" hidden="false"/>
    </xf>
    <xf numFmtId="169" fontId="9" fillId="0" borderId="0" xfId="0" applyFont="true" applyBorder="false" applyAlignment="false" applyProtection="false">
      <alignment horizontal="general" vertical="bottom" textRotation="0" wrapText="false" indent="0" shrinkToFit="false"/>
      <protection locked="true" hidden="false"/>
    </xf>
    <xf numFmtId="167" fontId="6" fillId="0" borderId="0" xfId="0" applyFont="true" applyBorder="false" applyAlignment="false" applyProtection="false">
      <alignment horizontal="general" vertical="bottom" textRotation="0" wrapText="false" indent="0" shrinkToFit="false"/>
      <protection locked="true" hidden="false"/>
    </xf>
    <xf numFmtId="166" fontId="6" fillId="0" borderId="0" xfId="0" applyFont="true" applyBorder="false" applyAlignment="false" applyProtection="false">
      <alignment horizontal="general" vertical="bottom" textRotation="0" wrapText="false" indent="0" shrinkToFit="false"/>
      <protection locked="true" hidden="false"/>
    </xf>
    <xf numFmtId="167" fontId="10" fillId="0" borderId="0" xfId="0" applyFont="true" applyBorder="false" applyAlignment="false" applyProtection="false">
      <alignment horizontal="general" vertical="bottom" textRotation="0" wrapText="false" indent="0" shrinkToFit="false"/>
      <protection locked="true" hidden="false"/>
    </xf>
    <xf numFmtId="170" fontId="6" fillId="0" borderId="0" xfId="0" applyFont="true" applyBorder="false" applyAlignment="false" applyProtection="false">
      <alignment horizontal="general" vertical="bottom" textRotation="0" wrapText="false" indent="0" shrinkToFit="false"/>
      <protection locked="true" hidden="false"/>
    </xf>
    <xf numFmtId="167" fontId="10" fillId="7" borderId="0" xfId="0" applyFont="true" applyBorder="false" applyAlignment="false" applyProtection="false">
      <alignment horizontal="general" vertical="bottom" textRotation="0" wrapText="false" indent="0" shrinkToFit="false"/>
      <protection locked="true" hidden="false"/>
    </xf>
    <xf numFmtId="169" fontId="6"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C00000"/>
      <rgbColor rgb="FF008000"/>
      <rgbColor rgb="FF000080"/>
      <rgbColor rgb="FF808000"/>
      <rgbColor rgb="FF800080"/>
      <rgbColor rgb="FF008080"/>
      <rgbColor rgb="FFC6E0B4"/>
      <rgbColor rgb="FF808080"/>
      <rgbColor rgb="FF9999FF"/>
      <rgbColor rgb="FF993366"/>
      <rgbColor rgb="FFFFFFCC"/>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8CBAD"/>
      <rgbColor rgb="FF3366FF"/>
      <rgbColor rgb="FF33CCCC"/>
      <rgbColor rgb="FF99CC00"/>
      <rgbColor rgb="FFFFCC00"/>
      <rgbColor rgb="FFFF9900"/>
      <rgbColor rgb="FFFF6600"/>
      <rgbColor rgb="FF555555"/>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pitchFamily="0" charset="1"/>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4296875" defaultRowHeight="15" customHeight="false" zeroHeight="false" outlineLevelRow="0" outlineLevelCol="0"/>
  <cols>
    <col collapsed="false" customWidth="true" hidden="false" outlineLevel="0" max="1" min="1" style="0" width="115"/>
  </cols>
  <sheetData>
    <row r="1" customFormat="false" ht="17.35" hidden="false" customHeight="false" outlineLevel="0" collapsed="false">
      <c r="A1" s="1" t="s">
        <v>0</v>
      </c>
    </row>
    <row r="2" customFormat="false" ht="21.65" hidden="false" customHeight="false" outlineLevel="0" collapsed="false">
      <c r="A2" s="2" t="s">
        <v>1</v>
      </c>
    </row>
    <row r="3" customFormat="false" ht="15" hidden="false" customHeight="false" outlineLevel="0" collapsed="false">
      <c r="A3" s="3"/>
    </row>
    <row r="4" customFormat="false" ht="35.5" hidden="false" customHeight="false" outlineLevel="0" collapsed="false">
      <c r="A4" s="4" t="s">
        <v>2</v>
      </c>
    </row>
    <row r="5" customFormat="false" ht="15" hidden="false" customHeight="false" outlineLevel="0" collapsed="false">
      <c r="A5" s="3"/>
    </row>
    <row r="6" customFormat="false" ht="58.4" hidden="false" customHeight="false" outlineLevel="0" collapsed="false">
      <c r="A6" s="4" t="s">
        <v>3</v>
      </c>
    </row>
    <row r="7" customFormat="false" ht="15" hidden="false" customHeight="false" outlineLevel="0" collapsed="false">
      <c r="A7" s="3"/>
    </row>
    <row r="8" customFormat="false" ht="24.05" hidden="false" customHeight="false" outlineLevel="0" collapsed="false">
      <c r="A8" s="3" t="s">
        <v>4</v>
      </c>
    </row>
    <row r="10" customFormat="false" ht="15" hidden="false" customHeight="false" outlineLevel="0" collapsed="false">
      <c r="A10" s="5" t="s">
        <v>5</v>
      </c>
    </row>
    <row r="11" customFormat="false" ht="45" hidden="false" customHeight="true" outlineLevel="0" collapsed="false">
      <c r="A11" s="3" t="s">
        <v>6</v>
      </c>
    </row>
    <row r="12" customFormat="false" ht="45" hidden="false" customHeight="true" outlineLevel="0" collapsed="false">
      <c r="A12" s="3" t="s">
        <v>7</v>
      </c>
    </row>
    <row r="13" customFormat="false" ht="45" hidden="false" customHeight="true" outlineLevel="0" collapsed="false">
      <c r="A13" s="3" t="s">
        <v>8</v>
      </c>
    </row>
    <row r="14" customFormat="false" ht="45" hidden="false" customHeight="true" outlineLevel="0" collapsed="false">
      <c r="A14" s="3" t="s">
        <v>9</v>
      </c>
    </row>
    <row r="15" customFormat="false" ht="45" hidden="false" customHeight="true" outlineLevel="0" collapsed="false">
      <c r="A15" s="3" t="s">
        <v>10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4296875" defaultRowHeight="15" customHeight="false" zeroHeight="false" outlineLevelRow="0" outlineLevelCol="0"/>
  <cols>
    <col collapsed="false" customWidth="true" hidden="false" outlineLevel="0" max="1" min="1" style="0" width="22"/>
    <col collapsed="false" customWidth="true" hidden="false" outlineLevel="0" max="2" min="2" style="0" width="16"/>
    <col collapsed="false" customWidth="true" hidden="false" outlineLevel="0" max="5" min="3" style="0" width="46"/>
    <col collapsed="false" customWidth="true" hidden="false" outlineLevel="0" max="6" min="6" style="0" width="52"/>
    <col collapsed="false" customWidth="true" hidden="false" outlineLevel="0" max="7" min="7" style="0" width="56"/>
  </cols>
  <sheetData>
    <row r="1" customFormat="false" ht="17.35" hidden="false" customHeight="false" outlineLevel="0" collapsed="false">
      <c r="A1" s="1" t="s">
        <v>11</v>
      </c>
    </row>
    <row r="3" customFormat="false" ht="15" hidden="false" customHeight="false" outlineLevel="0" collapsed="false">
      <c r="A3" s="6" t="s">
        <v>12</v>
      </c>
      <c r="B3" s="6" t="s">
        <v>13</v>
      </c>
      <c r="C3" s="6" t="s">
        <v>14</v>
      </c>
      <c r="D3" s="6" t="s">
        <v>15</v>
      </c>
      <c r="E3" s="6" t="s">
        <v>16</v>
      </c>
      <c r="F3" s="6" t="s">
        <v>17</v>
      </c>
      <c r="G3" s="6" t="s">
        <v>18</v>
      </c>
    </row>
    <row r="4" customFormat="false" ht="75" hidden="false" customHeight="true" outlineLevel="0" collapsed="false">
      <c r="A4" s="7" t="s">
        <v>19</v>
      </c>
      <c r="B4" s="5" t="s">
        <v>20</v>
      </c>
      <c r="C4" s="3" t="s">
        <v>21</v>
      </c>
      <c r="D4" s="3" t="s">
        <v>22</v>
      </c>
      <c r="E4" s="3" t="s">
        <v>23</v>
      </c>
      <c r="F4" s="3" t="s">
        <v>24</v>
      </c>
      <c r="G4" s="3" t="s">
        <v>25</v>
      </c>
    </row>
    <row r="5" customFormat="false" ht="75" hidden="false" customHeight="true" outlineLevel="0" collapsed="false">
      <c r="A5" s="7" t="s">
        <v>19</v>
      </c>
      <c r="B5" s="5" t="s">
        <v>26</v>
      </c>
      <c r="C5" s="3" t="s">
        <v>27</v>
      </c>
      <c r="D5" s="3" t="s">
        <v>28</v>
      </c>
      <c r="E5" s="3" t="s">
        <v>29</v>
      </c>
    </row>
    <row r="6" customFormat="false" ht="75" hidden="false" customHeight="true" outlineLevel="0" collapsed="false">
      <c r="A6" s="7" t="s">
        <v>19</v>
      </c>
      <c r="B6" s="5" t="s">
        <v>30</v>
      </c>
      <c r="C6" s="3" t="s">
        <v>31</v>
      </c>
      <c r="D6" s="3" t="s">
        <v>32</v>
      </c>
      <c r="E6" s="3" t="s">
        <v>33</v>
      </c>
    </row>
    <row r="7" customFormat="false" ht="75" hidden="false" customHeight="true" outlineLevel="0" collapsed="false">
      <c r="A7" s="7" t="s">
        <v>19</v>
      </c>
      <c r="B7" s="5" t="s">
        <v>34</v>
      </c>
      <c r="C7" s="3" t="s">
        <v>35</v>
      </c>
      <c r="D7" s="3" t="s">
        <v>36</v>
      </c>
      <c r="E7" s="3" t="s">
        <v>37</v>
      </c>
    </row>
    <row r="8" customFormat="false" ht="75" hidden="false" customHeight="true" outlineLevel="0" collapsed="false">
      <c r="A8" s="7" t="s">
        <v>19</v>
      </c>
      <c r="B8" s="5" t="s">
        <v>38</v>
      </c>
      <c r="C8" s="3" t="s">
        <v>39</v>
      </c>
      <c r="D8" s="3" t="s">
        <v>40</v>
      </c>
      <c r="E8" s="3" t="s">
        <v>41</v>
      </c>
    </row>
    <row r="9" customFormat="false" ht="75" hidden="false" customHeight="true" outlineLevel="0" collapsed="false">
      <c r="A9" s="7" t="s">
        <v>19</v>
      </c>
      <c r="B9" s="5" t="s">
        <v>42</v>
      </c>
      <c r="C9" s="3" t="s">
        <v>43</v>
      </c>
      <c r="D9" s="3" t="s">
        <v>44</v>
      </c>
      <c r="E9" s="3" t="s">
        <v>45</v>
      </c>
    </row>
    <row r="10" customFormat="false" ht="75" hidden="false" customHeight="true" outlineLevel="0" collapsed="false">
      <c r="A10" s="7" t="s">
        <v>19</v>
      </c>
      <c r="B10" s="5" t="s">
        <v>46</v>
      </c>
      <c r="C10" s="3" t="s">
        <v>47</v>
      </c>
      <c r="D10" s="3" t="s">
        <v>48</v>
      </c>
      <c r="E10" s="3" t="s">
        <v>49</v>
      </c>
    </row>
    <row r="11" customFormat="false" ht="75" hidden="false" customHeight="true" outlineLevel="0" collapsed="false">
      <c r="A11" s="7" t="s">
        <v>19</v>
      </c>
      <c r="B11" s="5" t="s">
        <v>50</v>
      </c>
      <c r="C11" s="3" t="s">
        <v>51</v>
      </c>
      <c r="D11" s="3" t="s">
        <v>52</v>
      </c>
      <c r="E11" s="3" t="s">
        <v>53</v>
      </c>
    </row>
    <row r="12" customFormat="false" ht="75" hidden="false" customHeight="true" outlineLevel="0" collapsed="false">
      <c r="A12" s="7" t="s">
        <v>19</v>
      </c>
      <c r="B12" s="5" t="s">
        <v>54</v>
      </c>
      <c r="C12" s="3" t="s">
        <v>55</v>
      </c>
      <c r="D12" s="3" t="s">
        <v>56</v>
      </c>
      <c r="E12" s="3" t="s">
        <v>57</v>
      </c>
    </row>
    <row r="13" customFormat="false" ht="75" hidden="false" customHeight="true" outlineLevel="0" collapsed="false">
      <c r="A13" s="7" t="s">
        <v>19</v>
      </c>
      <c r="B13" s="5" t="s">
        <v>58</v>
      </c>
      <c r="C13" s="3" t="s">
        <v>59</v>
      </c>
      <c r="D13" s="3" t="s">
        <v>60</v>
      </c>
      <c r="E13" s="3" t="s">
        <v>61</v>
      </c>
    </row>
    <row r="14" customFormat="false" ht="75" hidden="false" customHeight="true" outlineLevel="0" collapsed="false">
      <c r="A14" s="7" t="s">
        <v>19</v>
      </c>
      <c r="B14" s="5" t="s">
        <v>62</v>
      </c>
      <c r="C14" s="3" t="s">
        <v>63</v>
      </c>
      <c r="D14" s="3" t="s">
        <v>64</v>
      </c>
      <c r="E14" s="3" t="s">
        <v>61</v>
      </c>
      <c r="F14" s="8" t="s">
        <v>65</v>
      </c>
      <c r="G14" s="3" t="s">
        <v>66</v>
      </c>
    </row>
    <row r="15" customFormat="false" ht="75" hidden="false" customHeight="true" outlineLevel="0" collapsed="false">
      <c r="A15" s="7" t="s">
        <v>19</v>
      </c>
      <c r="B15" s="5" t="s">
        <v>67</v>
      </c>
      <c r="C15" s="3" t="s">
        <v>68</v>
      </c>
      <c r="D15" s="3" t="s">
        <v>69</v>
      </c>
      <c r="E15" s="3" t="s">
        <v>61</v>
      </c>
      <c r="F15" s="8" t="s">
        <v>70</v>
      </c>
      <c r="G15" s="3" t="s">
        <v>71</v>
      </c>
    </row>
    <row r="16" customFormat="false" ht="75" hidden="false" customHeight="true" outlineLevel="0" collapsed="false">
      <c r="A16" s="7" t="s">
        <v>72</v>
      </c>
      <c r="B16" s="5" t="s">
        <v>20</v>
      </c>
      <c r="C16" s="3" t="s">
        <v>73</v>
      </c>
      <c r="D16" s="3" t="s">
        <v>74</v>
      </c>
      <c r="E16" s="3" t="s">
        <v>75</v>
      </c>
      <c r="F16" s="3" t="s">
        <v>76</v>
      </c>
      <c r="G16" s="3" t="s">
        <v>77</v>
      </c>
    </row>
    <row r="17" customFormat="false" ht="75" hidden="false" customHeight="true" outlineLevel="0" collapsed="false">
      <c r="A17" s="7" t="s">
        <v>72</v>
      </c>
      <c r="B17" s="5" t="s">
        <v>26</v>
      </c>
      <c r="C17" s="3" t="s">
        <v>78</v>
      </c>
      <c r="D17" s="3" t="s">
        <v>79</v>
      </c>
      <c r="E17" s="3" t="s">
        <v>80</v>
      </c>
    </row>
    <row r="18" customFormat="false" ht="75" hidden="false" customHeight="true" outlineLevel="0" collapsed="false">
      <c r="A18" s="7" t="s">
        <v>72</v>
      </c>
      <c r="B18" s="5" t="s">
        <v>58</v>
      </c>
      <c r="C18" s="3" t="s">
        <v>81</v>
      </c>
      <c r="D18" s="3" t="s">
        <v>82</v>
      </c>
      <c r="E18" s="3" t="s">
        <v>61</v>
      </c>
    </row>
    <row r="19" customFormat="false" ht="75" hidden="false" customHeight="true" outlineLevel="0" collapsed="false">
      <c r="A19" s="7" t="s">
        <v>72</v>
      </c>
      <c r="B19" s="5" t="s">
        <v>83</v>
      </c>
      <c r="C19" s="3" t="s">
        <v>84</v>
      </c>
      <c r="D19" s="3" t="s">
        <v>85</v>
      </c>
      <c r="E19" s="3" t="s">
        <v>86</v>
      </c>
    </row>
    <row r="20" customFormat="false" ht="75" hidden="false" customHeight="true" outlineLevel="0" collapsed="false">
      <c r="A20" s="7" t="s">
        <v>87</v>
      </c>
      <c r="B20" s="5" t="s">
        <v>20</v>
      </c>
      <c r="C20" s="3" t="s">
        <v>88</v>
      </c>
      <c r="D20" s="3" t="s">
        <v>89</v>
      </c>
      <c r="E20" s="3" t="s">
        <v>90</v>
      </c>
      <c r="F20" s="3" t="s">
        <v>91</v>
      </c>
      <c r="G20" s="3" t="s">
        <v>92</v>
      </c>
    </row>
    <row r="21" customFormat="false" ht="75" hidden="false" customHeight="true" outlineLevel="0" collapsed="false">
      <c r="A21" s="7" t="s">
        <v>87</v>
      </c>
      <c r="B21" s="5" t="s">
        <v>26</v>
      </c>
      <c r="C21" s="3" t="s">
        <v>93</v>
      </c>
      <c r="D21" s="3" t="s">
        <v>94</v>
      </c>
      <c r="E21" s="3" t="s">
        <v>80</v>
      </c>
    </row>
    <row r="22" customFormat="false" ht="75" hidden="false" customHeight="true" outlineLevel="0" collapsed="false">
      <c r="A22" s="7" t="s">
        <v>87</v>
      </c>
      <c r="B22" s="5" t="s">
        <v>58</v>
      </c>
      <c r="C22" s="3" t="s">
        <v>95</v>
      </c>
      <c r="D22" s="3" t="s">
        <v>96</v>
      </c>
      <c r="E22" s="3" t="s">
        <v>61</v>
      </c>
    </row>
    <row r="23" customFormat="false" ht="75" hidden="false" customHeight="true" outlineLevel="0" collapsed="false">
      <c r="A23" s="7" t="s">
        <v>87</v>
      </c>
      <c r="B23" s="5" t="s">
        <v>83</v>
      </c>
      <c r="C23" s="3" t="s">
        <v>97</v>
      </c>
      <c r="D23" s="3" t="s">
        <v>98</v>
      </c>
      <c r="E23" s="3" t="s">
        <v>61</v>
      </c>
    </row>
    <row r="24" customFormat="false" ht="75" hidden="false" customHeight="true" outlineLevel="0" collapsed="false">
      <c r="A24" s="7" t="s">
        <v>99</v>
      </c>
      <c r="B24" s="5" t="s">
        <v>20</v>
      </c>
      <c r="C24" s="3" t="s">
        <v>100</v>
      </c>
      <c r="D24" s="3" t="s">
        <v>101</v>
      </c>
      <c r="E24" s="3" t="s">
        <v>102</v>
      </c>
      <c r="F24" s="3" t="s">
        <v>103</v>
      </c>
      <c r="G24" s="3" t="s">
        <v>104</v>
      </c>
    </row>
    <row r="25" customFormat="false" ht="75" hidden="false" customHeight="true" outlineLevel="0" collapsed="false">
      <c r="A25" s="7" t="s">
        <v>99</v>
      </c>
      <c r="B25" s="5" t="s">
        <v>58</v>
      </c>
      <c r="C25" s="3" t="s">
        <v>105</v>
      </c>
      <c r="D25" s="3" t="s">
        <v>106</v>
      </c>
      <c r="E25" s="3" t="s">
        <v>61</v>
      </c>
    </row>
    <row r="26" customFormat="false" ht="75" hidden="false" customHeight="true" outlineLevel="0" collapsed="false">
      <c r="A26" s="7" t="s">
        <v>99</v>
      </c>
      <c r="B26" s="5" t="s">
        <v>83</v>
      </c>
      <c r="C26" s="3" t="s">
        <v>107</v>
      </c>
      <c r="D26" s="3" t="s">
        <v>108</v>
      </c>
      <c r="E26" s="3" t="s">
        <v>61</v>
      </c>
    </row>
    <row r="27" customFormat="false" ht="75" hidden="false" customHeight="true" outlineLevel="0" collapsed="false">
      <c r="A27" s="7" t="s">
        <v>109</v>
      </c>
      <c r="B27" s="5" t="s">
        <v>20</v>
      </c>
      <c r="C27" s="3" t="s">
        <v>110</v>
      </c>
      <c r="D27" s="3" t="s">
        <v>111</v>
      </c>
      <c r="E27" s="3" t="s">
        <v>112</v>
      </c>
      <c r="F27" s="3" t="s">
        <v>113</v>
      </c>
      <c r="G27" s="3" t="s">
        <v>114</v>
      </c>
    </row>
    <row r="28" customFormat="false" ht="75" hidden="false" customHeight="true" outlineLevel="0" collapsed="false">
      <c r="A28" s="7" t="s">
        <v>109</v>
      </c>
      <c r="B28" s="5" t="s">
        <v>58</v>
      </c>
      <c r="C28" s="3" t="s">
        <v>115</v>
      </c>
      <c r="D28" s="3" t="s">
        <v>116</v>
      </c>
      <c r="E28" s="3" t="s">
        <v>61</v>
      </c>
    </row>
    <row r="29" customFormat="false" ht="75" hidden="false" customHeight="true" outlineLevel="0" collapsed="false">
      <c r="A29" s="7" t="s">
        <v>117</v>
      </c>
      <c r="B29" s="5" t="s">
        <v>20</v>
      </c>
      <c r="C29" s="3" t="s">
        <v>118</v>
      </c>
      <c r="D29" s="3" t="s">
        <v>119</v>
      </c>
      <c r="E29" s="3" t="s">
        <v>120</v>
      </c>
      <c r="F29" s="3" t="s">
        <v>121</v>
      </c>
      <c r="G29" s="3" t="s">
        <v>122</v>
      </c>
    </row>
    <row r="30" customFormat="false" ht="75" hidden="false" customHeight="true" outlineLevel="0" collapsed="false">
      <c r="A30" s="7" t="s">
        <v>117</v>
      </c>
      <c r="B30" s="5" t="s">
        <v>26</v>
      </c>
      <c r="C30" s="3" t="s">
        <v>123</v>
      </c>
      <c r="D30" s="3" t="s">
        <v>124</v>
      </c>
      <c r="E30" s="3" t="s">
        <v>125</v>
      </c>
    </row>
    <row r="31" customFormat="false" ht="75" hidden="false" customHeight="true" outlineLevel="0" collapsed="false">
      <c r="A31" s="7" t="s">
        <v>117</v>
      </c>
      <c r="B31" s="5" t="s">
        <v>58</v>
      </c>
      <c r="C31" s="3" t="s">
        <v>126</v>
      </c>
      <c r="D31" s="3" t="s">
        <v>127</v>
      </c>
      <c r="E31" s="3" t="s">
        <v>61</v>
      </c>
    </row>
    <row r="32" customFormat="false" ht="75" hidden="false" customHeight="true" outlineLevel="0" collapsed="false">
      <c r="A32" s="7" t="s">
        <v>117</v>
      </c>
      <c r="B32" s="5" t="s">
        <v>30</v>
      </c>
      <c r="C32" s="3" t="s">
        <v>128</v>
      </c>
      <c r="D32" s="3" t="s">
        <v>129</v>
      </c>
      <c r="E32" s="3" t="s">
        <v>130</v>
      </c>
    </row>
    <row r="33" customFormat="false" ht="75" hidden="false" customHeight="true" outlineLevel="0" collapsed="false">
      <c r="A33" s="7" t="s">
        <v>117</v>
      </c>
      <c r="B33" s="5" t="s">
        <v>83</v>
      </c>
      <c r="C33" s="3" t="s">
        <v>131</v>
      </c>
      <c r="D33" s="3" t="s">
        <v>132</v>
      </c>
      <c r="E33" s="3" t="s">
        <v>133</v>
      </c>
    </row>
    <row r="35" customFormat="false" ht="15" hidden="false" customHeight="false" outlineLevel="0" collapsed="false">
      <c r="A35" s="9" t="s">
        <v>134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4296875" defaultRowHeight="15" customHeight="false" zeroHeight="false" outlineLevelRow="0" outlineLevelCol="0"/>
  <cols>
    <col collapsed="false" customWidth="true" hidden="false" outlineLevel="0" max="1" min="1" style="0" width="115"/>
  </cols>
  <sheetData>
    <row r="1" customFormat="false" ht="17.35" hidden="false" customHeight="false" outlineLevel="0" collapsed="false">
      <c r="A1" s="1" t="s">
        <v>135</v>
      </c>
    </row>
    <row r="3" customFormat="false" ht="15" hidden="false" customHeight="false" outlineLevel="0" collapsed="false">
      <c r="A3" s="3"/>
    </row>
    <row r="4" customFormat="false" ht="35.5" hidden="false" customHeight="false" outlineLevel="0" collapsed="false">
      <c r="A4" s="3" t="s">
        <v>136</v>
      </c>
    </row>
    <row r="5" customFormat="false" ht="15" hidden="false" customHeight="false" outlineLevel="0" collapsed="false">
      <c r="A5" s="3"/>
    </row>
    <row r="6" customFormat="false" ht="15" hidden="false" customHeight="false" outlineLevel="0" collapsed="false">
      <c r="A6" s="4" t="s">
        <v>137</v>
      </c>
    </row>
    <row r="7" customFormat="false" ht="46.95" hidden="false" customHeight="false" outlineLevel="0" collapsed="false">
      <c r="A7" s="3" t="s">
        <v>138</v>
      </c>
    </row>
    <row r="8" customFormat="false" ht="46.95" hidden="false" customHeight="false" outlineLevel="0" collapsed="false">
      <c r="A8" s="3" t="s">
        <v>139</v>
      </c>
    </row>
    <row r="9" customFormat="false" ht="35.5" hidden="false" customHeight="false" outlineLevel="0" collapsed="false">
      <c r="A9" s="3" t="s">
        <v>140</v>
      </c>
    </row>
    <row r="10" customFormat="false" ht="15" hidden="false" customHeight="false" outlineLevel="0" collapsed="false">
      <c r="A10" s="3"/>
    </row>
    <row r="11" customFormat="false" ht="24.05" hidden="false" customHeight="false" outlineLevel="0" collapsed="false">
      <c r="A11" s="3" t="s">
        <v>141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4296875" defaultRowHeight="15" customHeight="false" zeroHeight="false" outlineLevelRow="0" outlineLevelCol="0"/>
  <cols>
    <col collapsed="false" customWidth="true" hidden="false" outlineLevel="0" max="1" min="1" style="0" width="40"/>
    <col collapsed="false" customWidth="true" hidden="false" outlineLevel="0" max="5" min="2" style="0" width="18"/>
    <col collapsed="false" customWidth="true" hidden="false" outlineLevel="0" max="6" min="6" style="0" width="46"/>
  </cols>
  <sheetData>
    <row r="1" customFormat="false" ht="17.35" hidden="false" customHeight="false" outlineLevel="0" collapsed="false">
      <c r="A1" s="1" t="s">
        <v>142</v>
      </c>
    </row>
    <row r="2" customFormat="false" ht="93.35" hidden="false" customHeight="false" outlineLevel="0" collapsed="false">
      <c r="A2" s="2" t="s">
        <v>143</v>
      </c>
    </row>
    <row r="4" customFormat="false" ht="15" hidden="false" customHeight="false" outlineLevel="0" collapsed="false">
      <c r="A4" s="7" t="s">
        <v>144</v>
      </c>
      <c r="B4" s="10" t="n">
        <v>315</v>
      </c>
    </row>
    <row r="5" customFormat="false" ht="15" hidden="false" customHeight="false" outlineLevel="0" collapsed="false">
      <c r="A5" s="7" t="s">
        <v>145</v>
      </c>
      <c r="B5" s="10" t="n">
        <v>52</v>
      </c>
    </row>
    <row r="7" customFormat="false" ht="15" hidden="false" customHeight="false" outlineLevel="0" collapsed="false">
      <c r="A7" s="11" t="s">
        <v>146</v>
      </c>
      <c r="B7" s="12"/>
      <c r="C7" s="12"/>
      <c r="D7" s="12"/>
      <c r="E7" s="12"/>
    </row>
    <row r="8" customFormat="false" ht="24.05" hidden="false" customHeight="false" outlineLevel="0" collapsed="false">
      <c r="A8" s="13" t="s">
        <v>147</v>
      </c>
      <c r="B8" s="13" t="s">
        <v>148</v>
      </c>
      <c r="C8" s="13" t="s">
        <v>149</v>
      </c>
      <c r="D8" s="13" t="s">
        <v>150</v>
      </c>
      <c r="E8" s="13" t="s">
        <v>151</v>
      </c>
      <c r="F8" s="13" t="s">
        <v>152</v>
      </c>
    </row>
    <row r="9" customFormat="false" ht="54.75" hidden="false" customHeight="true" outlineLevel="0" collapsed="false">
      <c r="A9" s="7" t="s">
        <v>153</v>
      </c>
      <c r="B9" s="14" t="n">
        <v>0.01</v>
      </c>
      <c r="C9" s="14" t="n">
        <v>0.025</v>
      </c>
      <c r="D9" s="15" t="n">
        <f aca="false">B9*$B$4</f>
        <v>3.15</v>
      </c>
      <c r="E9" s="15" t="n">
        <f aca="false">C9*$B$4</f>
        <v>7.875</v>
      </c>
      <c r="F9" s="2" t="s">
        <v>154</v>
      </c>
    </row>
    <row r="10" customFormat="false" ht="54.75" hidden="false" customHeight="true" outlineLevel="0" collapsed="false">
      <c r="A10" s="7" t="s">
        <v>155</v>
      </c>
      <c r="B10" s="14" t="n">
        <v>0.02</v>
      </c>
      <c r="C10" s="14" t="n">
        <v>0.04</v>
      </c>
      <c r="D10" s="15" t="n">
        <f aca="false">B10*$B$4</f>
        <v>6.3</v>
      </c>
      <c r="E10" s="15" t="n">
        <f aca="false">C10*$B$4</f>
        <v>12.6</v>
      </c>
      <c r="F10" s="2" t="s">
        <v>156</v>
      </c>
    </row>
    <row r="11" customFormat="false" ht="15" hidden="false" customHeight="false" outlineLevel="0" collapsed="false">
      <c r="A11" s="5" t="s">
        <v>157</v>
      </c>
      <c r="D11" s="16" t="n">
        <f aca="false">D9+D10</f>
        <v>9.45</v>
      </c>
      <c r="E11" s="16" t="n">
        <f aca="false">E9+E10</f>
        <v>20.475</v>
      </c>
    </row>
    <row r="13" customFormat="false" ht="15" hidden="false" customHeight="false" outlineLevel="0" collapsed="false">
      <c r="A13" s="11" t="s">
        <v>158</v>
      </c>
      <c r="B13" s="12"/>
      <c r="C13" s="12"/>
      <c r="D13" s="12"/>
      <c r="E13" s="12"/>
    </row>
    <row r="14" customFormat="false" ht="24.05" hidden="false" customHeight="false" outlineLevel="0" collapsed="false">
      <c r="A14" s="13" t="s">
        <v>147</v>
      </c>
      <c r="B14" s="13" t="s">
        <v>148</v>
      </c>
      <c r="C14" s="13" t="s">
        <v>149</v>
      </c>
      <c r="D14" s="13" t="s">
        <v>150</v>
      </c>
      <c r="E14" s="13" t="s">
        <v>151</v>
      </c>
      <c r="F14" s="13" t="s">
        <v>152</v>
      </c>
    </row>
    <row r="15" customFormat="false" ht="54.75" hidden="false" customHeight="true" outlineLevel="0" collapsed="false">
      <c r="A15" s="7" t="s">
        <v>153</v>
      </c>
      <c r="B15" s="14" t="n">
        <v>0.015</v>
      </c>
      <c r="C15" s="14" t="n">
        <v>0.035</v>
      </c>
      <c r="D15" s="15" t="n">
        <f aca="false">B15*$B$4</f>
        <v>4.725</v>
      </c>
      <c r="E15" s="15" t="n">
        <f aca="false">C15*$B$4</f>
        <v>11.025</v>
      </c>
      <c r="F15" s="2" t="s">
        <v>159</v>
      </c>
    </row>
    <row r="16" customFormat="false" ht="54.75" hidden="false" customHeight="true" outlineLevel="0" collapsed="false">
      <c r="A16" s="7" t="s">
        <v>155</v>
      </c>
      <c r="B16" s="14" t="n">
        <v>0.01</v>
      </c>
      <c r="C16" s="14" t="n">
        <v>0.025</v>
      </c>
      <c r="D16" s="15" t="n">
        <f aca="false">B16*$B$4</f>
        <v>3.15</v>
      </c>
      <c r="E16" s="15" t="n">
        <f aca="false">C16*$B$4</f>
        <v>7.875</v>
      </c>
      <c r="F16" s="2" t="s">
        <v>160</v>
      </c>
    </row>
    <row r="17" customFormat="false" ht="15" hidden="false" customHeight="false" outlineLevel="0" collapsed="false">
      <c r="A17" s="5" t="s">
        <v>157</v>
      </c>
      <c r="D17" s="16" t="n">
        <f aca="false">D15+D16</f>
        <v>7.875</v>
      </c>
      <c r="E17" s="16" t="n">
        <f aca="false">E15+E16</f>
        <v>18.9</v>
      </c>
    </row>
    <row r="19" customFormat="false" ht="75" hidden="false" customHeight="true" outlineLevel="0" collapsed="false">
      <c r="A19" s="17" t="s">
        <v>161</v>
      </c>
      <c r="B19" s="17"/>
      <c r="C19" s="17"/>
      <c r="D19" s="17"/>
      <c r="E19" s="17"/>
      <c r="F19" s="17"/>
    </row>
  </sheetData>
  <mergeCells count="1">
    <mergeCell ref="A19:F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4296875" defaultRowHeight="15" customHeight="false" zeroHeight="false" outlineLevelRow="0" outlineLevelCol="0"/>
  <cols>
    <col collapsed="false" customWidth="true" hidden="false" outlineLevel="0" max="2" min="1" style="0" width="30"/>
    <col collapsed="false" customWidth="true" hidden="false" outlineLevel="0" max="3" min="3" style="0" width="64"/>
    <col collapsed="false" customWidth="true" hidden="false" outlineLevel="0" max="4" min="4" style="0" width="58"/>
    <col collapsed="false" customWidth="true" hidden="false" outlineLevel="0" max="5" min="5" style="0" width="22"/>
  </cols>
  <sheetData>
    <row r="1" customFormat="false" ht="17.35" hidden="false" customHeight="false" outlineLevel="0" collapsed="false">
      <c r="A1" s="1" t="s">
        <v>162</v>
      </c>
    </row>
    <row r="2" customFormat="false" ht="15" hidden="false" customHeight="false" outlineLevel="0" collapsed="false">
      <c r="A2" s="9" t="s">
        <v>163</v>
      </c>
    </row>
    <row r="4" customFormat="false" ht="15" hidden="false" customHeight="false" outlineLevel="0" collapsed="false">
      <c r="A4" s="18" t="s">
        <v>12</v>
      </c>
      <c r="B4" s="19" t="s">
        <v>164</v>
      </c>
      <c r="C4" s="19" t="s">
        <v>165</v>
      </c>
      <c r="D4" s="19" t="s">
        <v>166</v>
      </c>
      <c r="E4" s="19" t="s">
        <v>167</v>
      </c>
    </row>
    <row r="5" customFormat="false" ht="94.5" hidden="false" customHeight="true" outlineLevel="0" collapsed="false">
      <c r="A5" s="3" t="s">
        <v>19</v>
      </c>
      <c r="B5" s="3" t="s">
        <v>168</v>
      </c>
      <c r="C5" s="3" t="s">
        <v>24</v>
      </c>
      <c r="D5" s="3" t="s">
        <v>25</v>
      </c>
      <c r="E5" s="20" t="s">
        <v>169</v>
      </c>
    </row>
    <row r="6" customFormat="false" ht="94.5" hidden="false" customHeight="true" outlineLevel="0" collapsed="false">
      <c r="A6" s="3" t="s">
        <v>72</v>
      </c>
      <c r="B6" s="3" t="s">
        <v>170</v>
      </c>
      <c r="C6" s="3" t="s">
        <v>76</v>
      </c>
      <c r="D6" s="3" t="s">
        <v>77</v>
      </c>
      <c r="E6" s="21" t="s">
        <v>171</v>
      </c>
    </row>
    <row r="7" customFormat="false" ht="94.5" hidden="false" customHeight="true" outlineLevel="0" collapsed="false">
      <c r="A7" s="3" t="s">
        <v>172</v>
      </c>
      <c r="B7" s="3" t="s">
        <v>173</v>
      </c>
      <c r="C7" s="3" t="s">
        <v>91</v>
      </c>
      <c r="D7" s="3" t="s">
        <v>92</v>
      </c>
      <c r="E7" s="21" t="s">
        <v>171</v>
      </c>
    </row>
    <row r="8" customFormat="false" ht="94.5" hidden="false" customHeight="true" outlineLevel="0" collapsed="false">
      <c r="A8" s="3" t="s">
        <v>99</v>
      </c>
      <c r="B8" s="3" t="s">
        <v>174</v>
      </c>
      <c r="C8" s="3" t="s">
        <v>103</v>
      </c>
      <c r="D8" s="3" t="s">
        <v>104</v>
      </c>
      <c r="E8" s="21" t="s">
        <v>171</v>
      </c>
    </row>
    <row r="9" customFormat="false" ht="94.5" hidden="false" customHeight="true" outlineLevel="0" collapsed="false">
      <c r="A9" s="3" t="s">
        <v>109</v>
      </c>
      <c r="B9" s="3" t="s">
        <v>175</v>
      </c>
      <c r="C9" s="3" t="s">
        <v>113</v>
      </c>
      <c r="D9" s="3" t="s">
        <v>114</v>
      </c>
      <c r="E9" s="21" t="s">
        <v>171</v>
      </c>
    </row>
    <row r="10" customFormat="false" ht="94.5" hidden="false" customHeight="true" outlineLevel="0" collapsed="false">
      <c r="A10" s="3" t="s">
        <v>117</v>
      </c>
      <c r="B10" s="3" t="s">
        <v>176</v>
      </c>
      <c r="C10" s="3" t="s">
        <v>121</v>
      </c>
      <c r="D10" s="3" t="s">
        <v>122</v>
      </c>
      <c r="E10" s="21" t="s">
        <v>171</v>
      </c>
    </row>
    <row r="12" customFormat="false" ht="45" hidden="false" customHeight="true" outlineLevel="0" collapsed="false">
      <c r="A12" s="22" t="s">
        <v>177</v>
      </c>
      <c r="B12" s="22"/>
      <c r="C12" s="22"/>
      <c r="D12" s="22"/>
      <c r="E12" s="22"/>
    </row>
  </sheetData>
  <mergeCells count="1">
    <mergeCell ref="A12:E1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4296875" defaultRowHeight="15" customHeight="false" zeroHeight="false" outlineLevelRow="0" outlineLevelCol="0"/>
  <cols>
    <col collapsed="false" customWidth="true" hidden="false" outlineLevel="0" max="1" min="1" style="0" width="64"/>
    <col collapsed="false" customWidth="true" hidden="false" outlineLevel="0" max="5" min="2" style="0" width="15"/>
    <col collapsed="false" customWidth="true" hidden="false" outlineLevel="0" max="6" min="6" style="0" width="70"/>
  </cols>
  <sheetData>
    <row r="1" customFormat="false" ht="17.35" hidden="false" customHeight="false" outlineLevel="0" collapsed="false">
      <c r="A1" s="1" t="s">
        <v>178</v>
      </c>
    </row>
    <row r="2" customFormat="false" ht="15" hidden="false" customHeight="false" outlineLevel="0" collapsed="false">
      <c r="A2" s="23" t="s">
        <v>179</v>
      </c>
    </row>
    <row r="4" customFormat="false" ht="15" hidden="false" customHeight="false" outlineLevel="0" collapsed="false">
      <c r="A4" s="18" t="s">
        <v>180</v>
      </c>
      <c r="B4" s="19" t="s">
        <v>181</v>
      </c>
      <c r="C4" s="19"/>
      <c r="D4" s="19"/>
      <c r="E4" s="19"/>
      <c r="F4" s="19" t="s">
        <v>182</v>
      </c>
    </row>
    <row r="5" customFormat="false" ht="21.65" hidden="false" customHeight="false" outlineLevel="0" collapsed="false">
      <c r="A5" s="7" t="s">
        <v>183</v>
      </c>
      <c r="B5" s="24" t="n">
        <v>258.666666666667</v>
      </c>
      <c r="F5" s="2" t="s">
        <v>184</v>
      </c>
    </row>
    <row r="6" customFormat="false" ht="15" hidden="false" customHeight="false" outlineLevel="0" collapsed="false">
      <c r="A6" s="7" t="s">
        <v>185</v>
      </c>
      <c r="B6" s="24" t="n">
        <v>57.7777777777778</v>
      </c>
      <c r="F6" s="2" t="s">
        <v>186</v>
      </c>
    </row>
    <row r="7" customFormat="false" ht="15" hidden="false" customHeight="false" outlineLevel="0" collapsed="false">
      <c r="A7" s="7" t="s">
        <v>187</v>
      </c>
      <c r="B7" s="24" t="n">
        <v>1200</v>
      </c>
      <c r="F7" s="2" t="s">
        <v>188</v>
      </c>
    </row>
    <row r="8" customFormat="false" ht="15" hidden="false" customHeight="false" outlineLevel="0" collapsed="false">
      <c r="A8" s="7" t="s">
        <v>189</v>
      </c>
      <c r="B8" s="24" t="n">
        <v>712.653406213068</v>
      </c>
      <c r="F8" s="2" t="s">
        <v>190</v>
      </c>
    </row>
    <row r="9" customFormat="false" ht="21.65" hidden="false" customHeight="false" outlineLevel="0" collapsed="false">
      <c r="A9" s="7" t="s">
        <v>191</v>
      </c>
      <c r="B9" s="24" t="n">
        <v>853.744956789202</v>
      </c>
      <c r="F9" s="2" t="s">
        <v>192</v>
      </c>
    </row>
    <row r="10" customFormat="false" ht="15" hidden="false" customHeight="false" outlineLevel="0" collapsed="false">
      <c r="A10" s="7" t="s">
        <v>193</v>
      </c>
      <c r="B10" s="25" t="n">
        <v>0.0882196</v>
      </c>
      <c r="F10" s="2" t="s">
        <v>194</v>
      </c>
    </row>
    <row r="11" customFormat="false" ht="15" hidden="false" customHeight="false" outlineLevel="0" collapsed="false">
      <c r="A11" s="7" t="s">
        <v>195</v>
      </c>
      <c r="B11" s="26" t="n">
        <v>0.03</v>
      </c>
      <c r="F11" s="2" t="s">
        <v>196</v>
      </c>
    </row>
    <row r="12" customFormat="false" ht="15" hidden="false" customHeight="false" outlineLevel="0" collapsed="false">
      <c r="A12" s="7" t="s">
        <v>197</v>
      </c>
      <c r="B12" s="25" t="n">
        <v>0.2204</v>
      </c>
      <c r="F12" s="2" t="s">
        <v>198</v>
      </c>
    </row>
    <row r="13" customFormat="false" ht="21.65" hidden="false" customHeight="false" outlineLevel="0" collapsed="false">
      <c r="A13" s="7" t="s">
        <v>199</v>
      </c>
      <c r="B13" s="27" t="n">
        <v>1</v>
      </c>
      <c r="F13" s="2" t="s">
        <v>200</v>
      </c>
    </row>
    <row r="15" customFormat="false" ht="24.05" hidden="false" customHeight="false" outlineLevel="0" collapsed="false">
      <c r="A15" s="18" t="s">
        <v>201</v>
      </c>
      <c r="B15" s="19" t="s">
        <v>202</v>
      </c>
      <c r="C15" s="19" t="s">
        <v>203</v>
      </c>
      <c r="D15" s="19" t="s">
        <v>204</v>
      </c>
      <c r="E15" s="19" t="s">
        <v>205</v>
      </c>
      <c r="F15" s="19" t="s">
        <v>206</v>
      </c>
    </row>
    <row r="16" customFormat="false" ht="15" hidden="false" customHeight="false" outlineLevel="0" collapsed="false">
      <c r="A16" s="7" t="s">
        <v>207</v>
      </c>
      <c r="B16" s="14" t="n">
        <v>0.01</v>
      </c>
      <c r="C16" s="14" t="n">
        <v>0.025</v>
      </c>
      <c r="D16" s="28" t="n">
        <f aca="false">B16*$B$5</f>
        <v>2.58666666666667</v>
      </c>
      <c r="E16" s="28" t="n">
        <f aca="false">C16*$B$5</f>
        <v>6.46666666666668</v>
      </c>
      <c r="F16" s="9" t="s">
        <v>208</v>
      </c>
    </row>
    <row r="17" customFormat="false" ht="15" hidden="false" customHeight="false" outlineLevel="0" collapsed="false">
      <c r="A17" s="7" t="s">
        <v>155</v>
      </c>
      <c r="B17" s="14" t="n">
        <v>0.02</v>
      </c>
      <c r="C17" s="14" t="n">
        <v>0.04</v>
      </c>
      <c r="D17" s="28" t="n">
        <f aca="false">B17*$B$5</f>
        <v>5.17333333333334</v>
      </c>
      <c r="E17" s="28" t="n">
        <f aca="false">C17*$B$5</f>
        <v>10.3466666666667</v>
      </c>
      <c r="F17" s="9" t="s">
        <v>209</v>
      </c>
    </row>
    <row r="18" customFormat="false" ht="15" hidden="false" customHeight="false" outlineLevel="0" collapsed="false">
      <c r="A18" s="7" t="s">
        <v>210</v>
      </c>
      <c r="D18" s="28" t="n">
        <f aca="false">D16+D17</f>
        <v>7.76000000000001</v>
      </c>
      <c r="E18" s="28" t="n">
        <f aca="false">E16+E17</f>
        <v>16.8133333333334</v>
      </c>
    </row>
    <row r="19" customFormat="false" ht="15" hidden="false" customHeight="false" outlineLevel="0" collapsed="false">
      <c r="A19" s="7" t="s">
        <v>211</v>
      </c>
      <c r="B19" s="29" t="n">
        <f aca="false">$B$6/$B$5</f>
        <v>0.223367697594501</v>
      </c>
    </row>
    <row r="20" customFormat="false" ht="15" hidden="false" customHeight="false" outlineLevel="0" collapsed="false">
      <c r="A20" s="5" t="s">
        <v>212</v>
      </c>
      <c r="D20" s="30" t="n">
        <f aca="false">D17+D16*$B$19</f>
        <v>5.75111111111112</v>
      </c>
      <c r="E20" s="30" t="n">
        <f aca="false">E17+E16*$B$19</f>
        <v>11.7911111111111</v>
      </c>
      <c r="F20" s="9" t="s">
        <v>213</v>
      </c>
    </row>
    <row r="21" customFormat="false" ht="21.65" hidden="false" customHeight="false" outlineLevel="0" collapsed="false">
      <c r="A21" s="7" t="s">
        <v>214</v>
      </c>
      <c r="B21" s="14" t="n">
        <v>0.07</v>
      </c>
      <c r="C21" s="14" t="n">
        <v>0.09</v>
      </c>
      <c r="D21" s="28" t="n">
        <f aca="false">B21*$B$5</f>
        <v>18.1066666666667</v>
      </c>
      <c r="E21" s="28" t="n">
        <f aca="false">C21*$B$5</f>
        <v>23.28</v>
      </c>
      <c r="F21" s="2" t="s">
        <v>215</v>
      </c>
    </row>
    <row r="23" customFormat="false" ht="15" hidden="false" customHeight="false" outlineLevel="0" collapsed="false">
      <c r="A23" s="18" t="s">
        <v>216</v>
      </c>
      <c r="B23" s="19" t="s">
        <v>217</v>
      </c>
      <c r="C23" s="19" t="s">
        <v>218</v>
      </c>
      <c r="D23" s="19"/>
      <c r="E23" s="19"/>
      <c r="F23" s="19" t="s">
        <v>206</v>
      </c>
    </row>
    <row r="24" customFormat="false" ht="15" hidden="false" customHeight="false" outlineLevel="0" collapsed="false">
      <c r="A24" s="7" t="s">
        <v>219</v>
      </c>
      <c r="B24" s="28" t="n">
        <f aca="false">$B$7</f>
        <v>1200</v>
      </c>
      <c r="C24" s="28" t="n">
        <f aca="false">$B$7</f>
        <v>1200</v>
      </c>
      <c r="F24" s="2"/>
    </row>
    <row r="25" customFormat="false" ht="15" hidden="false" customHeight="false" outlineLevel="0" collapsed="false">
      <c r="A25" s="7" t="s">
        <v>220</v>
      </c>
      <c r="B25" s="28" t="n">
        <f aca="false">$B$8</f>
        <v>712.653406213068</v>
      </c>
      <c r="C25" s="28" t="n">
        <f aca="false">$B$9</f>
        <v>853.744956789202</v>
      </c>
      <c r="F25" s="2" t="s">
        <v>221</v>
      </c>
    </row>
    <row r="26" customFormat="false" ht="15" hidden="false" customHeight="false" outlineLevel="0" collapsed="false">
      <c r="A26" s="7" t="s">
        <v>222</v>
      </c>
      <c r="B26" s="28" t="n">
        <f aca="false">B24-B25</f>
        <v>487.346593786932</v>
      </c>
      <c r="C26" s="28" t="n">
        <f aca="false">C24-C25</f>
        <v>346.255043210798</v>
      </c>
      <c r="F26" s="2" t="s">
        <v>223</v>
      </c>
    </row>
    <row r="27" customFormat="false" ht="15" hidden="false" customHeight="false" outlineLevel="0" collapsed="false">
      <c r="A27" s="7" t="s">
        <v>224</v>
      </c>
      <c r="B27" s="29" t="n">
        <f aca="false">B26/B24</f>
        <v>0.40612216148911</v>
      </c>
      <c r="C27" s="29" t="n">
        <f aca="false">C26/C24</f>
        <v>0.288545869342332</v>
      </c>
      <c r="F27" s="2"/>
    </row>
    <row r="28" customFormat="false" ht="21.65" hidden="false" customHeight="false" outlineLevel="0" collapsed="false">
      <c r="A28" s="7" t="s">
        <v>225</v>
      </c>
      <c r="B28" s="31" t="n">
        <f aca="false">(1-$B$12)/($B$10-$B$11)</f>
        <v>13.3906794275467</v>
      </c>
      <c r="C28" s="31" t="n">
        <f aca="false">(1-$B$12)/($B$10-$B$11)</f>
        <v>13.3906794275467</v>
      </c>
      <c r="F28" s="2" t="s">
        <v>226</v>
      </c>
    </row>
    <row r="29" customFormat="false" ht="15" hidden="false" customHeight="false" outlineLevel="0" collapsed="false">
      <c r="A29" s="7" t="s">
        <v>227</v>
      </c>
      <c r="B29" s="31" t="n">
        <f aca="false">B28-$B$13*(1-$B$12)</f>
        <v>12.6110794275467</v>
      </c>
      <c r="C29" s="31" t="n">
        <f aca="false">C28-$B$13*(1-$B$12)</f>
        <v>12.6110794275467</v>
      </c>
      <c r="F29" s="2" t="s">
        <v>228</v>
      </c>
    </row>
    <row r="30" customFormat="false" ht="15" hidden="false" customHeight="false" outlineLevel="0" collapsed="false">
      <c r="A30" s="5" t="s">
        <v>229</v>
      </c>
      <c r="B30" s="32" t="n">
        <f aca="false">B26/B29</f>
        <v>38.644320384059</v>
      </c>
      <c r="C30" s="32" t="n">
        <f aca="false">C26/C29</f>
        <v>27.4564160189542</v>
      </c>
      <c r="F30" s="2" t="s">
        <v>230</v>
      </c>
    </row>
    <row r="31" customFormat="false" ht="15" hidden="false" customHeight="false" outlineLevel="0" collapsed="false">
      <c r="A31" s="7" t="s">
        <v>231</v>
      </c>
      <c r="B31" s="29" t="n">
        <f aca="false">B30/$B$5</f>
        <v>0.149398145814661</v>
      </c>
      <c r="C31" s="29" t="n">
        <f aca="false">C30/$B$5</f>
        <v>0.106145938217606</v>
      </c>
      <c r="F31" s="2"/>
    </row>
    <row r="32" customFormat="false" ht="15" hidden="false" customHeight="false" outlineLevel="0" collapsed="false">
      <c r="A32" s="7" t="s">
        <v>232</v>
      </c>
      <c r="B32" s="29" t="n">
        <f aca="false">B30/$B$6</f>
        <v>0.668844006647176</v>
      </c>
      <c r="C32" s="29" t="n">
        <f aca="false">C30/$B$6</f>
        <v>0.475207200328053</v>
      </c>
      <c r="F32" s="2"/>
    </row>
    <row r="33" customFormat="false" ht="15" hidden="false" customHeight="false" outlineLevel="0" collapsed="false">
      <c r="A33" s="7" t="s">
        <v>233</v>
      </c>
      <c r="B33" s="28" t="n">
        <f aca="false">$E$17</f>
        <v>10.3466666666667</v>
      </c>
      <c r="C33" s="28" t="n">
        <f aca="false">$E$17</f>
        <v>10.3466666666667</v>
      </c>
      <c r="F33" s="2" t="s">
        <v>234</v>
      </c>
    </row>
    <row r="34" customFormat="false" ht="15" hidden="false" customHeight="false" outlineLevel="0" collapsed="false">
      <c r="A34" s="7" t="s">
        <v>235</v>
      </c>
      <c r="B34" s="33" t="n">
        <f aca="false">B30/B33</f>
        <v>3.73495364536653</v>
      </c>
      <c r="C34" s="33" t="n">
        <f aca="false">C30/C33</f>
        <v>2.65364845544016</v>
      </c>
      <c r="F34" s="2"/>
    </row>
    <row r="35" customFormat="false" ht="15" hidden="false" customHeight="false" outlineLevel="0" collapsed="false">
      <c r="A35" s="7" t="s">
        <v>236</v>
      </c>
      <c r="B35" s="28" t="n">
        <f aca="false">$D$21</f>
        <v>18.1066666666667</v>
      </c>
      <c r="C35" s="28" t="n">
        <f aca="false">$E$21</f>
        <v>23.28</v>
      </c>
      <c r="F35" s="2" t="s">
        <v>237</v>
      </c>
    </row>
    <row r="36" customFormat="false" ht="15" hidden="false" customHeight="false" outlineLevel="0" collapsed="false">
      <c r="A36" s="7" t="s">
        <v>238</v>
      </c>
      <c r="B36" s="33" t="n">
        <f aca="false">B30/$E$21</f>
        <v>1.65997939794068</v>
      </c>
      <c r="C36" s="33" t="n">
        <f aca="false">C30/$E$21</f>
        <v>1.17939931352896</v>
      </c>
      <c r="F36" s="2"/>
    </row>
    <row r="38" customFormat="false" ht="48" hidden="false" customHeight="true" outlineLevel="0" collapsed="false">
      <c r="A38" s="34" t="s">
        <v>239</v>
      </c>
      <c r="B38" s="34"/>
      <c r="C38" s="34"/>
      <c r="D38" s="34"/>
      <c r="E38" s="34"/>
      <c r="F38" s="34"/>
    </row>
    <row r="39" customFormat="false" ht="36" hidden="false" customHeight="true" outlineLevel="0" collapsed="false">
      <c r="A39" s="17" t="s">
        <v>240</v>
      </c>
      <c r="B39" s="17"/>
      <c r="C39" s="17"/>
      <c r="D39" s="17"/>
      <c r="E39" s="17"/>
      <c r="F39" s="17"/>
    </row>
  </sheetData>
  <mergeCells count="2">
    <mergeCell ref="A38:F38"/>
    <mergeCell ref="A39:F3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LibreOffice/26.8.1.1$Windows_X86_64 LibreOffice_project/bf6ef2662401c7d6dce671ab4deb26ee0af3a7c1</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2026-09-16T19:43:44Z</dcterms:created>
  <dc:creator>openpyxl</dc:creator>
  <dc:description/>
  <dc:language>en-GB</dc:language>
  <cp:lastModifiedBy/>
  <dcterms:modified xsi:type="dcterms:W3CDTF">2026-10-09T17:05:23Z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
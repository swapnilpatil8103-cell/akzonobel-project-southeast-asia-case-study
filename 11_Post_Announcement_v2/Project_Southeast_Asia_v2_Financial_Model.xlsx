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Assumptions" sheetId="2" state="visible" r:id="rId4"/>
    <sheet name="Case_Drivers" sheetId="3" state="visible" r:id="rId5"/>
    <sheet name="Revenue_Build" sheetId="4" state="visible" r:id="rId6"/>
    <sheet name="Working_Capital" sheetId="5" state="visible" r:id="rId7"/>
    <sheet name="Capex_DA" sheetId="6" state="visible" r:id="rId8"/>
    <sheet name="Carveout_PnL" sheetId="7" state="visible" r:id="rId9"/>
    <sheet name="DCF_Valuation" sheetId="8" state="visible" r:id="rId10"/>
    <sheet name="Case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<sst xmlns="http://schemas.openxmlformats.org/spreadsheetml/2006/main" count="660" uniqueCount="383">
  <si>
    <t xml:space="preserve">Project Southeast Asia — v2 Financial Model (post-announcement)</t>
  </si>
  <si>
    <t xml:space="preserve">Independent student analysis/reconstruction based on publicly available information. Not affiliated with, commissioned by, or representative of Goldman Sachs, AkzoNobel or Nippon Paint.</t>
  </si>
  <si>
    <t xml:space="preserve">WHAT THIS IS: a rebuild of the September carve-out model on the announced perimeter (seven countries) and the reported FY2024-FY2025 financials. The September files in folders 01-10 are unchanged and remain the pre-announcement record.</t>
  </si>
  <si>
    <t xml:space="preserve">THE ANNOUNCED PRICE IS A CHECK, NOT A TARGET. No assumption was tuned to reach EUR 1.2bn. The 'What you need to believe' block on DCF_Valuation and on each case shows what it would take.</t>
  </si>
  <si>
    <t xml:space="preserve">WHAT CHANGED vs September: (1) seven countries; (2) FY2024-FY2025 are reported figures, not back-solved from an anchor; (3) three cases selected on Assumptions; (4) tax and country risk premium now weighted across seven countries; (5) a normalised terminal year, a terminal-margin sensitivity and a reverse DCF; (6) FX is one input cell.</t>
  </si>
  <si>
    <t xml:space="preserve">SHEETS: Assumptions (inputs, selector) | Case_Drivers (growth and margin for Base / Buyer / Downside) | Revenue_Build | Working_Capital | Capex_DA | Carveout_PnL | DCF_Valuation (active case) | Cases (all three cases side by side, plus an integrity check) | Sources.</t>
  </si>
  <si>
    <t xml:space="preserve">CASES: Base = seller / standalone view (reported FY2025 margin held, ~5% growth). Buyer = Nippon Paint's 2026 projection (single-source, buyer's view) then a fade. Downside = 3% growth and a standalone-cost margin step-down. Rationales are on Case_Drivers.</t>
  </si>
  <si>
    <t xml:space="preserve">COLOUR CODE: blue = hard-coded input; black = formula; green = link to another sheet; yellow fill = key output or input to scrutinise first. CLASSIFICATIONS: PUBLIC FACT, REPORTED (corroborated or single-source), ANALYST CALCULATION, ILLUSTRATIVE ASSUMPTION, UNAVAILABLE.</t>
  </si>
  <si>
    <t xml:space="preserve">REPORTED FINANCIALS: FY2024-FY2025 revenue and EBITDA are NOT in AkzoNobel's release. They are reported by PCI Magazine and, attributed to Nippon Paint's own statement, by Investing.com, Yahoo Finance UK and Yahoo Finance Singapore. The primary Nippon Paint release was not accessed, so these stay REPORTED, not PUBLIC FACT. The 2026 revenue (&gt;~USD 330m) and ~26% margin are single-source (PCI).</t>
  </si>
  <si>
    <t xml:space="preserve">STANDALONE COST RISK: AkzoNobel keeps Global Business Services. TSA and stranded costs are shown inside the case margin (they do not reduce EBITDA a second time); the allowance for standalone-cost risk is the Downside margin step-down.</t>
  </si>
  <si>
    <t xml:space="preserve">LIMITATIONS: country split and country risk premiums are illustrative; the reported margin may or may not be on a standalone basis (unknown); working-capital, D&amp;A, capex and separation costs are unchanged illustrative inputs; comps data in the Valuation workbook are dated 2026-09-18; no equity value can be derived (net debt of the perimeter is not disclosed).</t>
  </si>
  <si>
    <t xml:space="preserve">Assumptions (v2, post-announcement)</t>
  </si>
  <si>
    <t xml:space="preserve">Blue = hard-coded input; black = formula; green = link to another sheet. Every input carries a classification and a source or rationale. The announced price is a CHECK in the Valuation workbook; no input below was tuned to it.</t>
  </si>
  <si>
    <t xml:space="preserve">Assumption</t>
  </si>
  <si>
    <t xml:space="preserve">Value</t>
  </si>
  <si>
    <t xml:space="preserve">Classification</t>
  </si>
  <si>
    <t xml:space="preserve">Source / rationale</t>
  </si>
  <si>
    <t xml:space="preserve">1. Announced transaction (AkzoNobel release, 5 Oct 2026)</t>
  </si>
  <si>
    <t xml:space="preserve">FX: USD per EUR (release-implied) — the ONE FX input used everywhere</t>
  </si>
  <si>
    <t xml:space="preserve">PUBLIC FACT (derived)</t>
  </si>
  <si>
    <t xml:space="preserve">USD 1.35bn / EUR 1.20bn from the AkzoNobel release (SRC-037). Single input cell; every USD-to-EUR conversion in the project divides by it.</t>
  </si>
  <si>
    <t xml:space="preserve">Check: announced EV in USD / announced EV in EUR</t>
  </si>
  <si>
    <t xml:space="preserve">ANALYST CALCULATION</t>
  </si>
  <si>
    <t xml:space="preserve">Must equal the FX input above.</t>
  </si>
  <si>
    <t xml:space="preserve">Announced enterprise value (USD m)</t>
  </si>
  <si>
    <t xml:space="preserve">PUBLIC FACT</t>
  </si>
  <si>
    <t xml:space="preserve">AkzoNobel media release (SRC-037) and Form 6-K (SRC-038): 'approximately USD 1.35 billion'.</t>
  </si>
  <si>
    <t xml:space="preserve">Announced enterprise value (EUR m)</t>
  </si>
  <si>
    <t xml:space="preserve">Same sources: 'approximately EUR 1.20 billion'.</t>
  </si>
  <si>
    <t xml:space="preserve">Announced EV / FY2025 EBITDA (x), as stated by AkzoNobel</t>
  </si>
  <si>
    <t xml:space="preserve">AkzoNobel release (SRC-037): 21x FY25 EBITDA.</t>
  </si>
  <si>
    <t xml:space="preserve">Net cash proceeds after taxes and minority partners (USD m)</t>
  </si>
  <si>
    <t xml:space="preserve">AkzoNobel release (SRC-037): 'approximately USD 1 billion'.</t>
  </si>
  <si>
    <t xml:space="preserve">Net cash proceeds after taxes and minority partners (EUR m)</t>
  </si>
  <si>
    <t xml:space="preserve">AkzoNobel release (SRC-037): 'approximately EUR 0.9 billion'.</t>
  </si>
  <si>
    <t xml:space="preserve">Nippon Paint's stated multiple on projected 2026 EBITDA (x)</t>
  </si>
  <si>
    <t xml:space="preserve">REPORTED — corroborated</t>
  </si>
  <si>
    <t xml:space="preserve">'Roughly 16 times projected 2026 EBITDA' per Nippon Paint, reported by Investing.com (SRC-041) and Yahoo Finance UK (SRC-043). Primary Nippon Paint release not accessed.</t>
  </si>
  <si>
    <t xml:space="preserve">Perimeter</t>
  </si>
  <si>
    <t xml:space="preserve">Decorative Paints, 7 countries: Vietnam, Indonesia, Malaysia, Thailand, Singapore, Papua New Guinea, Australia</t>
  </si>
  <si>
    <t xml:space="preserve">AkzoNobel release (SRC-037). AkzoNobel retains Coatings and Global Business Services, so standalone cost risk is real (see Case_Drivers).</t>
  </si>
  <si>
    <t xml:space="preserve">Closing</t>
  </si>
  <si>
    <t xml:space="preserve">Indonesia late 2026; remaining transactions mid-2027; subject to regulatory approvals</t>
  </si>
  <si>
    <t xml:space="preserve">AkzoNobel release (SRC-037); Nippon Paint statement per SRC-042.</t>
  </si>
  <si>
    <t xml:space="preserve">2. Reported financials of the divested businesses (USD m) — NOT in AkzoNobel's release</t>
  </si>
  <si>
    <t xml:space="preserve">Revenue FY2024 (USD m)</t>
  </si>
  <si>
    <t xml:space="preserve">PCI Magazine (SRC-039) and Yahoo Finance Singapore / MT Newswires (SRC-042), the latter attributing it to the Nippon Paint press release. Primary release not accessed; AkzoNobel's own release states no revenue.</t>
  </si>
  <si>
    <t xml:space="preserve">Revenue FY2025 (USD m)</t>
  </si>
  <si>
    <t xml:space="preserve">PCI Magazine (SRC-039); Investing.com (SRC-041), Yahoo Finance UK (SRC-043) and Yahoo Finance Singapore (SRC-042), each attributing to Nippon Paint.</t>
  </si>
  <si>
    <t xml:space="preserve">EBITDA FY2024 (USD m)</t>
  </si>
  <si>
    <t xml:space="preserve">As revenue FY2024 (SRC-039, SRC-042).</t>
  </si>
  <si>
    <t xml:space="preserve">EBITDA FY2025 (USD m)</t>
  </si>
  <si>
    <t xml:space="preserve">As revenue FY2025. Also consistent with AkzoNobel's own '21x' on USD 1.35bn (1,350 / 21 = 64.3).</t>
  </si>
  <si>
    <t xml:space="preserve">EBITDA margin FY2024 (reported ~23%)</t>
  </si>
  <si>
    <t xml:space="preserve">EBITDA / revenue from the two reported figures.</t>
  </si>
  <si>
    <t xml:space="preserve">EBITDA margin FY2025 (reported ~22%)</t>
  </si>
  <si>
    <t xml:space="preserve">EBITDA / revenue; matches the reported ~22%.</t>
  </si>
  <si>
    <t xml:space="preserve">Revenue FY2024 (EUR m)</t>
  </si>
  <si>
    <t xml:space="preserve">USD / FX input.</t>
  </si>
  <si>
    <t xml:space="preserve">Revenue FY2025 (EUR m)</t>
  </si>
  <si>
    <t xml:space="preserve">EBITDA FY2024 (EUR m)</t>
  </si>
  <si>
    <t xml:space="preserve">EBITDA FY2025 (EUR m)</t>
  </si>
  <si>
    <t xml:space="preserve">Nippon Paint 2026 projection: revenue (USD m, 'above ~330')</t>
  </si>
  <si>
    <t xml:space="preserve">REPORTED — single source</t>
  </si>
  <si>
    <t xml:space="preserve">PCI Magazine only (SRC-039). The text says 'above ~USD 330m'; the floor is used. Buyer's view, not a seller forecast.</t>
  </si>
  <si>
    <t xml:space="preserve">Nippon Paint 2026 projection: EBITDA margin</t>
  </si>
  <si>
    <t xml:space="preserve">PCI Magazine only (SRC-039); '~26%'.</t>
  </si>
  <si>
    <t xml:space="preserve">Implied Nippon Paint 2026E EBITDA (USD m)</t>
  </si>
  <si>
    <t xml:space="preserve">Revenue x margin.</t>
  </si>
  <si>
    <t xml:space="preserve">Check: announced EV / implied 2026E EBITDA</t>
  </si>
  <si>
    <t xml:space="preserve">Compare with the corroborated 'roughly 16x': agreement supports the 2026 projection arithmetically (it does not verify the revenue figure).</t>
  </si>
  <si>
    <t xml:space="preserve">3. Case selector</t>
  </si>
  <si>
    <t xml:space="preserve">ACTIVE CASE (1 = Base, 2 = Buyer, 3 = Downside)</t>
  </si>
  <si>
    <t xml:space="preserve">ILLUSTRATIVE ASSUMPTION</t>
  </si>
  <si>
    <t xml:space="preserve">Drives Revenue_Build, Carveout_PnL and DCF_Valuation. The Cases sheet always shows all three, so the valuation workbook does not depend on this switch.</t>
  </si>
  <si>
    <t xml:space="preserve">Active case name</t>
  </si>
  <si>
    <t xml:space="preserve">4. Country split (NOT DISCLOSED) — seven countries</t>
  </si>
  <si>
    <t xml:space="preserve">September four-country split: Indonesia</t>
  </si>
  <si>
    <t xml:space="preserve">From 02_Financial_Model (illustrative then, illustrative now). Used only as the starting point for the rescaling below.</t>
  </si>
  <si>
    <t xml:space="preserve">September four-country split: Thailand</t>
  </si>
  <si>
    <t xml:space="preserve">As above.</t>
  </si>
  <si>
    <t xml:space="preserve">September four-country split: Vietnam</t>
  </si>
  <si>
    <t xml:space="preserve">September four-country split: Malaysia</t>
  </si>
  <si>
    <t xml:space="preserve">Added market share: Australia</t>
  </si>
  <si>
    <t xml:space="preserve">No disclosure. Australia is the largest of the three added markets by income level; a modest weight is assumed. Together with Singapore and PNG the added markets are 15% of revenue (see sensitivity note).</t>
  </si>
  <si>
    <t xml:space="preserve">Added market share: Singapore</t>
  </si>
  <si>
    <t xml:space="preserve">No disclosure; small, high-income market.</t>
  </si>
  <si>
    <t xml:space="preserve">Added market share: Papua New Guinea</t>
  </si>
  <si>
    <t xml:space="preserve">No disclosure; smallest market.</t>
  </si>
  <si>
    <t xml:space="preserve">Combined share of the three added markets</t>
  </si>
  <si>
    <t xml:space="preserve">The four original markets are rescaled to (1 - this).</t>
  </si>
  <si>
    <t xml:space="preserve">Revenue split by country</t>
  </si>
  <si>
    <t xml:space="preserve">Split</t>
  </si>
  <si>
    <t xml:space="preserve">Derivation</t>
  </si>
  <si>
    <t xml:space="preserve">Indonesia</t>
  </si>
  <si>
    <t xml:space="preserve">September split x (1 - added-market share).</t>
  </si>
  <si>
    <t xml:space="preserve">Thailand</t>
  </si>
  <si>
    <t xml:space="preserve">Vietnam</t>
  </si>
  <si>
    <t xml:space="preserve">Malaysia</t>
  </si>
  <si>
    <t xml:space="preserve">Australia</t>
  </si>
  <si>
    <t xml:space="preserve">Direct input above.</t>
  </si>
  <si>
    <t xml:space="preserve">Singapore</t>
  </si>
  <si>
    <t xml:space="preserve">Papua New Guinea</t>
  </si>
  <si>
    <t xml:space="preserve">Check: splits sum to 100%</t>
  </si>
  <si>
    <t xml:space="preserve">Statutory corporate income tax rate</t>
  </si>
  <si>
    <t xml:space="preserve">Rate</t>
  </si>
  <si>
    <t xml:space="preserve">Source</t>
  </si>
  <si>
    <t xml:space="preserve">OECD / Trading Economics 2026 (SRC-016).</t>
  </si>
  <si>
    <t xml:space="preserve">Thaicore / OECD 2026 (SRC-016).</t>
  </si>
  <si>
    <t xml:space="preserve">Trading Economics / OECD 2026 (SRC-016).</t>
  </si>
  <si>
    <t xml:space="preserve">ATO company tax rates 2025-26 (SRC-046): 30% for companies other than base-rate entities (the 25% rate needs aggregated turnover under A$50m).</t>
  </si>
  <si>
    <t xml:space="preserve">IRAS corporate income tax rates (SRC-044): flat 17%. Exemptions and rebates are not modelled.</t>
  </si>
  <si>
    <t xml:space="preserve">PwC Tax Summaries, PNG (SRC-045): 30% for resident companies (non-resident branches 48%; a locally incorporated subsidiary is assumed).</t>
  </si>
  <si>
    <t xml:space="preserve">Blended statutory tax rate (revenue-weighted)</t>
  </si>
  <si>
    <t xml:space="preserve">Statutory rates only; no incentives, holidays, withholding taxes or transfer-pricing effects (none disclosed).</t>
  </si>
  <si>
    <t xml:space="preserve">Country risk premium (CRP) by country</t>
  </si>
  <si>
    <t xml:space="preserve">CRP</t>
  </si>
  <si>
    <t xml:space="preserve">Rationale</t>
  </si>
  <si>
    <t xml:space="preserve">Tier 3 (frontier-leaning EM). Tiers (0 / 1 / 2 / 4%) are an analyst ordering by general sovereign risk, NOT a published table; replace with a sourced CRP (e.g. Damodaran) when available. The September blended 1.5% is reproduced approximately by this scheme on the old four-country split (1.6%).</t>
  </si>
  <si>
    <t xml:space="preserve">Tier 2 (upper-middle). Tiers (0 / 1 / 2 / 4%) are an analyst ordering by general sovereign risk, NOT a published table; replace with a sourced CRP (e.g. Damodaran) when available. The September blended 1.5% is reproduced approximately by this scheme on the old four-country split (1.6%).</t>
  </si>
  <si>
    <t xml:space="preserve">Tier 3. Tiers (0 / 1 / 2 / 4%) are an analyst ordering by general sovereign risk, NOT a published table; replace with a sourced CRP (e.g. Damodaran) when available. The September blended 1.5% is reproduced approximately by this scheme on the old four-country split (1.6%).</t>
  </si>
  <si>
    <t xml:space="preserve">Tier 2. Tiers (0 / 1 / 2 / 4%) are an analyst ordering by general sovereign risk, NOT a published table; replace with a sourced CRP (e.g. Damodaran) when available. The September blended 1.5% is reproduced approximately by this scheme on the old four-country split (1.6%).</t>
  </si>
  <si>
    <t xml:space="preserve">Tier 1 (developed, treated as 0). Tiers (0 / 1 / 2 / 4%) are an analyst ordering by general sovereign risk, NOT a published table; replace with a sourced CRP (e.g. Damodaran) when available. The September blended 1.5% is reproduced approximately by this scheme on the old four-country split (1.6%).</t>
  </si>
  <si>
    <t xml:space="preserve">Tier 4 (highest assumed risk). Tiers (0 / 1 / 2 / 4%) are an analyst ordering by general sovereign risk, NOT a published table; replace with a sourced CRP (e.g. Damodaran) when available. The September blended 1.5% is reproduced approximately by this scheme on the old four-country split (1.6%).</t>
  </si>
  <si>
    <t xml:space="preserve">Revenue-weighted country risk premium</t>
  </si>
  <si>
    <t xml:space="preserve">Singapore and Australia pull it down, as intended.</t>
  </si>
  <si>
    <t xml:space="preserve">Sensitivity note: how much does the undisclosed country split matter?</t>
  </si>
  <si>
    <t xml:space="preserve">Blended tax if all seven countries were weighted equally</t>
  </si>
  <si>
    <t xml:space="preserve">Alternative split for comparison only.</t>
  </si>
  <si>
    <t xml:space="preserve">Country risk premium if equally weighted</t>
  </si>
  <si>
    <t xml:space="preserve">WACC change under the equal-weight split (percentage points)</t>
  </si>
  <si>
    <t xml:space="preserve">Difference between WACC recomputed with the equal-weight tax and CRP and the base WACC. Small: the split mainly moves tax and CRP, not revenue (revenue totals are reported).</t>
  </si>
  <si>
    <t xml:space="preserve">5. Discount rate</t>
  </si>
  <si>
    <t xml:space="preserve">Risk-free rate</t>
  </si>
  <si>
    <t xml:space="preserve">Unchanged from the September model.</t>
  </si>
  <si>
    <t xml:space="preserve">Equity risk premium</t>
  </si>
  <si>
    <t xml:space="preserve">Beta (peer median)</t>
  </si>
  <si>
    <t xml:space="preserve">Median 5-year beta of the five comps with a reported beta, Yahoo Finance pull of 2026-09-18 (SRC-034). Same input as the September model; not refreshed.</t>
  </si>
  <si>
    <t xml:space="preserve">Country risk premium (revenue-weighted, from section 4)</t>
  </si>
  <si>
    <t xml:space="preserve">Replaces the September flat 1.5%.</t>
  </si>
  <si>
    <t xml:space="preserve">Cost of equity</t>
  </si>
  <si>
    <t xml:space="preserve">Rf + beta x ERP + CRP.</t>
  </si>
  <si>
    <t xml:space="preserve">Pre-tax cost of debt</t>
  </si>
  <si>
    <t xml:space="preserve">After-tax cost of debt</t>
  </si>
  <si>
    <t xml:space="preserve">Uses the blended statutory rate.</t>
  </si>
  <si>
    <t xml:space="preserve">Target debt / (debt + equity)</t>
  </si>
  <si>
    <t xml:space="preserve">WACC</t>
  </si>
  <si>
    <t xml:space="preserve">Terminal growth rate (all cases)</t>
  </si>
  <si>
    <t xml:space="preserve">Unchanged from the September model; held equal across cases so the cases differ only in operating drivers.</t>
  </si>
  <si>
    <t xml:space="preserve">Sensitivity step: WACC</t>
  </si>
  <si>
    <t xml:space="preserve">Grid spacing and the Low / High scenario shift.</t>
  </si>
  <si>
    <t xml:space="preserve">Sensitivity step: terminal growth</t>
  </si>
  <si>
    <t xml:space="preserve">Sensitivity step: terminal EBITDA margin</t>
  </si>
  <si>
    <t xml:space="preserve">Grid spacing for the margin x WACC table.</t>
  </si>
  <si>
    <t xml:space="preserve">6. Operating assumptions common to all cases (ILLUSTRATIVE, unchanged from September unless stated)</t>
  </si>
  <si>
    <t xml:space="preserve">Gross margin (used only for COGS in working capital)</t>
  </si>
  <si>
    <t xml:space="preserve">No disclosure. EBITDA is driven directly by the case margin, so this does not affect EBITDA or value.</t>
  </si>
  <si>
    <t xml:space="preserve">D&amp;A % of revenue</t>
  </si>
  <si>
    <t xml:space="preserve">No disclosure.</t>
  </si>
  <si>
    <t xml:space="preserve">Capex % of revenue — FY2026E</t>
  </si>
  <si>
    <t xml:space="preserve">3.0% maintenance, 3.5% in the two separation years.</t>
  </si>
  <si>
    <t xml:space="preserve">Capex % of revenue — FY2027E</t>
  </si>
  <si>
    <t xml:space="preserve">Capex % of revenue — FY2028E</t>
  </si>
  <si>
    <t xml:space="preserve">Capex % of revenue — FY2029E</t>
  </si>
  <si>
    <t xml:space="preserve">Capex % of revenue — FY2030E</t>
  </si>
  <si>
    <t xml:space="preserve">Terminal-year capex % of revenue</t>
  </si>
  <si>
    <t xml:space="preserve">Steady-state maintenance level used in the terminal-year normalisation.</t>
  </si>
  <si>
    <t xml:space="preserve">Days sales outstanding</t>
  </si>
  <si>
    <t xml:space="preserve">Days inventory outstanding</t>
  </si>
  <si>
    <t xml:space="preserve">Days payable outstanding</t>
  </si>
  <si>
    <t xml:space="preserve">TSA cost % of revenue — FY2026E</t>
  </si>
  <si>
    <t xml:space="preserve">Transition-services cost shown as a COMPONENT of opex inside the case EBITDA margin (it does not reduce EBITDA a second time).</t>
  </si>
  <si>
    <t xml:space="preserve">TSA cost % of revenue — FY2027E</t>
  </si>
  <si>
    <t xml:space="preserve">TSA cost % of revenue — FY2028E</t>
  </si>
  <si>
    <t xml:space="preserve">TSA cost % of revenue — FY2029E</t>
  </si>
  <si>
    <t xml:space="preserve">TSA cost % of revenue — FY2030E</t>
  </si>
  <si>
    <t xml:space="preserve">Stranded / standalone replacement cost % of revenue — FY2026E</t>
  </si>
  <si>
    <t xml:space="preserve">Global Business Services stay with AkzoNobel, so replacing them is a real cost. Shown inside the margin like the TSA; the standalone-cost RISK is carried in the Downside margin step-down.</t>
  </si>
  <si>
    <t xml:space="preserve">Stranded / standalone replacement cost % of revenue — FY2027E</t>
  </si>
  <si>
    <t xml:space="preserve">Stranded / standalone replacement cost % of revenue — FY2028E</t>
  </si>
  <si>
    <t xml:space="preserve">Stranded / standalone replacement cost % of revenue — FY2029E</t>
  </si>
  <si>
    <t xml:space="preserve">Stranded / standalone replacement cost % of revenue — FY2030E</t>
  </si>
  <si>
    <t xml:space="preserve">One-time separation cost, FY2026E (EUR m, pre-tax)</t>
  </si>
  <si>
    <t xml:space="preserve">Unchanged from September, although the perimeter is now seven countries across two buyers' structures (UNDER-stated if anything). Deducted from FY2026E free cash flow.</t>
  </si>
  <si>
    <t xml:space="preserve">Case drivers: revenue growth and EBITDA margin, FY2026E-FY2030E</t>
  </si>
  <si>
    <t xml:space="preserve">Three cases. The active case is chosen on Assumptions. Everything else (D&amp;A, capex, working capital, tax, WACC, terminal growth) is common to all cases.</t>
  </si>
  <si>
    <t xml:space="preserve">FY2026E</t>
  </si>
  <si>
    <t xml:space="preserve">FY2027E</t>
  </si>
  <si>
    <t xml:space="preserve">FY2028E</t>
  </si>
  <si>
    <t xml:space="preserve">FY2029E</t>
  </si>
  <si>
    <t xml:space="preserve">FY2030E</t>
  </si>
  <si>
    <t xml:space="preserve">Revenue growth</t>
  </si>
  <si>
    <t xml:space="preserve">Base (seller / standalone view)</t>
  </si>
  <si>
    <t xml:space="preserve">~5% p.a., anchored to the ASEAN paints-and-coatings market growth of about 5.0% a year (SRC-001, ION Analytics). Applying the market rate to this business is an assumption; no cited source gives growth for the business itself.</t>
  </si>
  <si>
    <t xml:space="preserve">Buyer (Nippon Paint's 2026 projection, then Base growth)</t>
  </si>
  <si>
    <t xml:space="preserve">FY2026E growth is whatever takes FY2025 reported revenue to Nippon Paint's projected ~USD 330m (REPORTED, single-source, buyer's view). From FY2027E it falls back to Base growth.</t>
  </si>
  <si>
    <t xml:space="preserve">Downside</t>
  </si>
  <si>
    <t xml:space="preserve">3% p.a.: below the ~5% market rate, consistent with share loss or weaker markets during a carve-out and integration. No source; a stress, not a forecast.</t>
  </si>
  <si>
    <t xml:space="preserve">ACTIVE case</t>
  </si>
  <si>
    <t xml:space="preserve">Selected on Assumptions.</t>
  </si>
  <si>
    <t xml:space="preserve">EBITDA margin</t>
  </si>
  <si>
    <t xml:space="preserve">Base: reported FY2025 margin held flat</t>
  </si>
  <si>
    <t xml:space="preserve">Starts at the reported FY2025 margin (~22.3%) and holds it. No expansion is assumed because no cited source supports one; this is the seller / standalone view.</t>
  </si>
  <si>
    <t xml:space="preserve">Buyer: 2026 projection, then fades</t>
  </si>
  <si>
    <t xml:space="preserve">FY2026E = Nippon Paint's projected ~26% (REPORTED, single-source). It then fades linearly so that, by FY2030E, only the share of the uplift set in the cell below is retained. The fade rule is an assumption; a buyer would argue for a higher persistent margin.</t>
  </si>
  <si>
    <t xml:space="preserve">Downside: Base less standalone step-down</t>
  </si>
  <si>
    <t xml:space="preserve">Base margin less the step-down below. Reflects the loss of AkzoNobel group procurement scale and the cost of replacing Global Business Services, which stay with AkzoNobel (standalone cost risk).</t>
  </si>
  <si>
    <t xml:space="preserve">Case parameters</t>
  </si>
  <si>
    <t xml:space="preserve">Share of the buyer's FY2026E margin uplift retained by FY2030E</t>
  </si>
  <si>
    <t xml:space="preserve">0.5 means the margin ends midway between the buyer's 26% and the Base margin. No source; it is the single parameter that separates 'Buyer' from 'Base' after FY2026E.</t>
  </si>
  <si>
    <t xml:space="preserve">Downside margin step-down vs Base (percentage points)</t>
  </si>
  <si>
    <t xml:space="preserve">1pp in FY2026E rising to 2pp from FY2027E. A stress input, not a forecast: it is the model's only allowance for standalone-cost risk, since TSA and stranded costs are shown inside the margin rather than deducted again.</t>
  </si>
  <si>
    <t xml:space="preserve">Revenue build — seven countries, active case</t>
  </si>
  <si>
    <t xml:space="preserve">FY2024-FY2025 are REPORTED figures (not back-solved). Forecast = prior year x (1 + active-case growth). Country split is ILLUSTRATIVE.</t>
  </si>
  <si>
    <t xml:space="preserve">EUR m unless stated</t>
  </si>
  <si>
    <t xml:space="preserve">FY2024</t>
  </si>
  <si>
    <t xml:space="preserve">FY2025</t>
  </si>
  <si>
    <t xml:space="preserve">Revenue (USD m)</t>
  </si>
  <si>
    <t xml:space="preserve">Revenue (EUR m)</t>
  </si>
  <si>
    <t xml:space="preserve">  Growth % YoY</t>
  </si>
  <si>
    <t xml:space="preserve">FY2024-FY2025: REPORTED, corroborated (see Assumptions section 2). FY2026E+: ANALYST CALCULATION on ILLUSTRATIVE growth.</t>
  </si>
  <si>
    <t xml:space="preserve">Revenue by country (EUR m) — ILLUSTRATIVE split</t>
  </si>
  <si>
    <t xml:space="preserve">Check: countries sum to total</t>
  </si>
  <si>
    <t xml:space="preserve">Working capital schedule — active case</t>
  </si>
  <si>
    <t xml:space="preserve">ILLUSTRATIVE day-count assumptions applied to REPORTED FY2024-FY2025 revenue and forecast revenue. No balance-sheet data is disclosed.</t>
  </si>
  <si>
    <t xml:space="preserve">EUR m</t>
  </si>
  <si>
    <t xml:space="preserve">Revenue</t>
  </si>
  <si>
    <t xml:space="preserve">COGS = revenue x (1 - gross margin)</t>
  </si>
  <si>
    <t xml:space="preserve">Accounts receivable</t>
  </si>
  <si>
    <t xml:space="preserve">Inventory</t>
  </si>
  <si>
    <t xml:space="preserve">Accounts payable</t>
  </si>
  <si>
    <t xml:space="preserve">Net working capital</t>
  </si>
  <si>
    <t xml:space="preserve">NWC / revenue</t>
  </si>
  <si>
    <t xml:space="preserve">Change in NWC (increase = cash outflow)</t>
  </si>
  <si>
    <t xml:space="preserve">Steady-state NWC / revenue (used by the Cases sheet and terminal year)</t>
  </si>
  <si>
    <t xml:space="preserve">Capex and D&amp;A — active case</t>
  </si>
  <si>
    <t xml:space="preserve">ILLUSTRATIVE % of revenue; forecast years only (history is not disclosed).</t>
  </si>
  <si>
    <t xml:space="preserve">Capex</t>
  </si>
  <si>
    <t xml:space="preserve">  Capex % of revenue</t>
  </si>
  <si>
    <t xml:space="preserve">D&amp;A</t>
  </si>
  <si>
    <t xml:space="preserve">  D&amp;A % of revenue</t>
  </si>
  <si>
    <t xml:space="preserve">Carve-out P&amp;L and unlevered free cash flow — active case</t>
  </si>
  <si>
    <t xml:space="preserve">  Revenue growth % YoY</t>
  </si>
  <si>
    <t xml:space="preserve">Gross profit (illustrative gross margin)</t>
  </si>
  <si>
    <t xml:space="preserve">EBITDA</t>
  </si>
  <si>
    <t xml:space="preserve">  EBITDA margin %</t>
  </si>
  <si>
    <t xml:space="preserve">Operating-cost bridge (components inside the case margin, not extra deductions):</t>
  </si>
  <si>
    <t xml:space="preserve">  TSA costs</t>
  </si>
  <si>
    <t xml:space="preserve">  Stranded / standalone replacement costs</t>
  </si>
  <si>
    <t xml:space="preserve">  Standalone operating expenses (plug: gross profit less EBITDA less the two lines above)</t>
  </si>
  <si>
    <t xml:space="preserve">  Check: gross profit + bridge = EBITDA</t>
  </si>
  <si>
    <t xml:space="preserve">EBIT</t>
  </si>
  <si>
    <t xml:space="preserve">Cash taxes (EBIT x blended statutory rate)</t>
  </si>
  <si>
    <t xml:space="preserve">Change in NWC (increase = outflow)</t>
  </si>
  <si>
    <t xml:space="preserve">One-time separation costs (pre-tax)</t>
  </si>
  <si>
    <t xml:space="preserve">Unlevered free cash flow</t>
  </si>
  <si>
    <t xml:space="preserve">UFCF = EBITDA - cash taxes - capex - change in NWC - separation costs (equivalent to EBIT - tax + D&amp;A - capex - dNWC - separation).</t>
  </si>
  <si>
    <t xml:space="preserve">DCF valuation — active case</t>
  </si>
  <si>
    <t xml:space="preserve">Period (t)</t>
  </si>
  <si>
    <t xml:space="preserve">Discount factor at WACC</t>
  </si>
  <si>
    <t xml:space="preserve">PV of FCF</t>
  </si>
  <si>
    <t xml:space="preserve">Terminal year (normalised)</t>
  </si>
  <si>
    <t xml:space="preserve">FY2030E revenue</t>
  </si>
  <si>
    <t xml:space="preserve">Terminal EBITDA margin (default = FY2030E case margin; overwrite to test)</t>
  </si>
  <si>
    <t xml:space="preserve">Terminal capex % of revenue</t>
  </si>
  <si>
    <t xml:space="preserve">Blended statutory tax rate</t>
  </si>
  <si>
    <t xml:space="preserve">Steady-state NWC / revenue</t>
  </si>
  <si>
    <t xml:space="preserve">Terminal growth</t>
  </si>
  <si>
    <t xml:space="preserve">A = free cash flow per EUR of revenue = (m - D&amp;A)(1 - t) + D&amp;A - capex</t>
  </si>
  <si>
    <t xml:space="preserve">Terminal-year free cash flow = FY2030E revenue x ((1 + g) x A - g x NWC%)</t>
  </si>
  <si>
    <t xml:space="preserve">Terminal value = terminal FCF / (WACC - g)</t>
  </si>
  <si>
    <t xml:space="preserve">PV of terminal value</t>
  </si>
  <si>
    <t xml:space="preserve">Sum of PV of FCF, FY2026E-FY2030E</t>
  </si>
  <si>
    <t xml:space="preserve">ENTERPRISE VALUE (EUR m)</t>
  </si>
  <si>
    <t xml:space="preserve">  TV as % of enterprise value</t>
  </si>
  <si>
    <t xml:space="preserve">  Implied EV / FY2025 reported EBITDA</t>
  </si>
  <si>
    <t xml:space="preserve">  Implied EV / FY2026E EBITDA (active case)</t>
  </si>
  <si>
    <t xml:space="preserve">  Implied EV / FY2025 reported revenue</t>
  </si>
  <si>
    <t xml:space="preserve">  Implied terminal EV / FY2030E EBITDA</t>
  </si>
  <si>
    <t xml:space="preserve">Sensitivity (a): enterprise value by WACC x terminal growth (EUR m)</t>
  </si>
  <si>
    <t xml:space="preserve">WACC down, terminal growth across</t>
  </si>
  <si>
    <t xml:space="preserve">WACC \ g</t>
  </si>
  <si>
    <t xml:space="preserve">Sensitivity (b): enterprise value by terminal EBITDA margin x WACC (EUR m)</t>
  </si>
  <si>
    <t xml:space="preserve">WACC \ terminal margin</t>
  </si>
  <si>
    <t xml:space="preserve">What you need to believe: reaching the announced enterprise value (a CHECK, not a target)</t>
  </si>
  <si>
    <t xml:space="preserve">Gap: announced EV less this DCF (EUR m)</t>
  </si>
  <si>
    <t xml:space="preserve">Terminal value (undiscounted) the announced EV would require</t>
  </si>
  <si>
    <t xml:space="preserve">Required terminal-year free cash flow per EUR of revenue, A*</t>
  </si>
  <si>
    <t xml:space="preserve">REQUIRED TERMINAL EBITDA MARGIN (holding growth and WACC)</t>
  </si>
  <si>
    <t xml:space="preserve">  vs the case terminal margin (percentage points)</t>
  </si>
  <si>
    <t xml:space="preserve">  vs the reported FY2025 margin (percentage points)</t>
  </si>
  <si>
    <t xml:space="preserve">REQUIRED TERMINAL GROWTH (holding margin and WACC)</t>
  </si>
  <si>
    <t xml:space="preserve">  vs the case terminal growth (percentage points)</t>
  </si>
  <si>
    <t xml:space="preserve">Check: EV recomputed at the required margin (must equal the announced EV)</t>
  </si>
  <si>
    <t xml:space="preserve">Check: EV recomputed at the required growth (must equal the announced EV)</t>
  </si>
  <si>
    <t xml:space="preserve">Reading</t>
  </si>
  <si>
    <t xml:space="preserve">Cases: all three cases computed side by side (independent of the selector)</t>
  </si>
  <si>
    <t xml:space="preserve">Each block re-runs the same chain as Carveout_PnL / DCF_Valuation from the case drivers. The check at the bottom proves the active-case DCF equals the matching block here. The Valuation workbook links to this sheet.</t>
  </si>
  <si>
    <t xml:space="preserve">Summary (EUR m)</t>
  </si>
  <si>
    <t xml:space="preserve">Base</t>
  </si>
  <si>
    <t xml:space="preserve">Buyer</t>
  </si>
  <si>
    <t xml:space="preserve">Enterprise value</t>
  </si>
  <si>
    <t xml:space="preserve">EV, Low (WACC + step, g - step)</t>
  </si>
  <si>
    <t xml:space="preserve">EV, High (WACC - step, g + step)</t>
  </si>
  <si>
    <t xml:space="preserve">TV as % of EV</t>
  </si>
  <si>
    <t xml:space="preserve">FY2026E revenue</t>
  </si>
  <si>
    <t xml:space="preserve">FY2026E EBITDA</t>
  </si>
  <si>
    <t xml:space="preserve">Terminal EBITDA margin (FY2030E)</t>
  </si>
  <si>
    <t xml:space="preserve">Integrity check: active-case DCF_Valuation EV minus this sheet's matching case (must be 0)</t>
  </si>
  <si>
    <t xml:space="preserve">Case 1: Base</t>
  </si>
  <si>
    <t xml:space="preserve">Cash taxes</t>
  </si>
  <si>
    <t xml:space="preserve">Change in NWC</t>
  </si>
  <si>
    <t xml:space="preserve">Separation costs</t>
  </si>
  <si>
    <t xml:space="preserve">Unlevered FCF</t>
  </si>
  <si>
    <t xml:space="preserve">Discount factor</t>
  </si>
  <si>
    <t xml:space="preserve">Sum of PV of FCF</t>
  </si>
  <si>
    <t xml:space="preserve">Terminal EBITDA margin (FY2030E case margin)</t>
  </si>
  <si>
    <t xml:space="preserve">Terminal-year free cash flow per EUR of FY2030E revenue, A</t>
  </si>
  <si>
    <t xml:space="preserve">Terminal value</t>
  </si>
  <si>
    <t xml:space="preserve">  TV as % of EV</t>
  </si>
  <si>
    <t xml:space="preserve">EV at WACC + step, g - step (Low)</t>
  </si>
  <si>
    <t xml:space="preserve">EV at WACC - step, g + step (High)</t>
  </si>
  <si>
    <t xml:space="preserve">Reverse DCF: terminal value (undiscounted) needed to reach the announced EV</t>
  </si>
  <si>
    <t xml:space="preserve">Case 2: Buyer</t>
  </si>
  <si>
    <t xml:space="preserve">Case 3: Downside</t>
  </si>
  <si>
    <t xml:space="preserve">  Terminal EBITDA margin needed, holding terminal growth</t>
  </si>
  <si>
    <t xml:space="preserve">  Terminal growth needed, holding the case terminal margin</t>
  </si>
  <si>
    <t xml:space="preserve">Source ID</t>
  </si>
  <si>
    <t xml:space="preserve">URL / reference</t>
  </si>
  <si>
    <t xml:space="preserve">Used for</t>
  </si>
  <si>
    <t xml:space="preserve">SRC-001</t>
  </si>
  <si>
    <t xml:space="preserve">ION Analytics / Mergermarket, 'AkzoNobel taps Goldman Sachs for sale of Southeast Asia paints assets'</t>
  </si>
  <si>
    <t xml:space="preserve">ionanalytics.com (September 2026 process article)</t>
  </si>
  <si>
    <t xml:space="preserve">ASEAN market growth ~5% (base-case growth anchor)</t>
  </si>
  <si>
    <t xml:space="preserve">SRC-016</t>
  </si>
  <si>
    <t xml:space="preserve">OECD Corporate Tax Statistics 2026 / Trading Economics / Thaicore</t>
  </si>
  <si>
    <t xml:space="preserve">oecd.org; tradingeconomics.com; thaicore.co.th</t>
  </si>
  <si>
    <t xml:space="preserve">Statutory CIT: Indonesia, Thailand, Vietnam, Malaysia</t>
  </si>
  <si>
    <t xml:space="preserve">SRC-034</t>
  </si>
  <si>
    <t xml:space="preserve">Yahoo Finance (yfinance), live comps pull</t>
  </si>
  <si>
    <t xml:space="preserve">finance.yahoo.com, 2026-09-18</t>
  </si>
  <si>
    <t xml:space="preserve">Peer-median beta 0.821</t>
  </si>
  <si>
    <t xml:space="preserve">SRC-037</t>
  </si>
  <si>
    <t xml:space="preserve">AkzoNobel media release, 5 Oct 2026</t>
  </si>
  <si>
    <t xml:space="preserve">akzonobel.com/en/media/media-releases/akzonobel-to-sell-decorative-paints-south-east-asia-business-to-nippon-paint</t>
  </si>
  <si>
    <t xml:space="preserve">EV, 21x, proceeds, perimeter, timing</t>
  </si>
  <si>
    <t xml:space="preserve">SRC-038</t>
  </si>
  <si>
    <t xml:space="preserve">AkzoNobel Form 6-K, Exhibit 99.1 (SEC EDGAR)</t>
  </si>
  <si>
    <t xml:space="preserve">sec.gov/Archives/edgar/data/0000003124/000095010326015189/dp254601_ex9901.htm</t>
  </si>
  <si>
    <t xml:space="preserve">Same facts, regulatory filing</t>
  </si>
  <si>
    <t xml:space="preserve">SRC-039</t>
  </si>
  <si>
    <t xml:space="preserve">PCI Magazine, 'AkzoNobel to sell Southeast Asia decorative paints business to Nippon Paint for $1.35 billion'</t>
  </si>
  <si>
    <t xml:space="preserve">pcimag.com/articles/115350-...</t>
  </si>
  <si>
    <t xml:space="preserve">FY24/FY25 financials; the ONLY source for the 2026 revenue (&gt;~$330m) and ~26% margin</t>
  </si>
  <si>
    <t xml:space="preserve">SRC-040</t>
  </si>
  <si>
    <t xml:space="preserve">Business Today Malaysia; DealStreetAsia, 5 Oct 2026</t>
  </si>
  <si>
    <t xml:space="preserve">businesstoday.com.my; dealstreetasia.com</t>
  </si>
  <si>
    <t xml:space="preserve">Corroborates price, perimeter, proceeds (no revenue/EBITDA)</t>
  </si>
  <si>
    <t xml:space="preserve">SRC-041</t>
  </si>
  <si>
    <t xml:space="preserve">Investing.com, 'AkzoNobel rises as Nippon Paint buys Asia-Pacific unit for $1.35 bln'</t>
  </si>
  <si>
    <t xml:space="preserve">investing.com/news/stock-market-news/nippon-paint-shares-rise-on-135-billion-deal-for-akzos-southeast-asia-paint-arm-4930991</t>
  </si>
  <si>
    <t xml:space="preserve">FY2025 revenue/EBITDA and 'roughly 16x projected 2026 EBITDA', attributed to Nippon Paint</t>
  </si>
  <si>
    <t xml:space="preserve">SRC-042</t>
  </si>
  <si>
    <t xml:space="preserve">Yahoo Finance Singapore / MT Newswires, 'Nippon Paint to Buy AkzoNobel's Southeast Asia, Australia Units for $1.35 Billion'</t>
  </si>
  <si>
    <t xml:space="preserve">sg.finance.yahoo.com/news/nippon-paint-buy-akzonobel-apos-014603443.html</t>
  </si>
  <si>
    <t xml:space="preserve">FY2024 and FY2025 revenue/EBITDA, attributed to the Nippon Paint press release</t>
  </si>
  <si>
    <t xml:space="preserve">SRC-043</t>
  </si>
  <si>
    <t xml:space="preserve">Yahoo Finance UK, 'Nippon Paint shares rise on $1.35 billion deal for Akzo's Southeast Asia paint arm'</t>
  </si>
  <si>
    <t xml:space="preserve">uk.finance.yahoo.com/news/nippon-paint-shares-rise-1-033610211.html</t>
  </si>
  <si>
    <t xml:space="preserve">FY2025 revenue/EBITDA and the 16x multiple, attributed to Nippon Paint</t>
  </si>
  <si>
    <t xml:space="preserve">SRC-044</t>
  </si>
  <si>
    <t xml:space="preserve">IRAS, Corporate Income Tax Rates (Singapore)</t>
  </si>
  <si>
    <t xml:space="preserve">iras.gov.sg/quick-links/tax-rates/corporate-income-tax-rates</t>
  </si>
  <si>
    <t xml:space="preserve">Singapore CIT 17%</t>
  </si>
  <si>
    <t xml:space="preserve">SRC-045</t>
  </si>
  <si>
    <t xml:space="preserve">PwC Tax Summaries, Papua New Guinea: taxes on corporate income</t>
  </si>
  <si>
    <t xml:space="preserve">taxsummaries.pwc.com/papua-new-guinea/corporate/taxes-on-corporate-income</t>
  </si>
  <si>
    <t xml:space="preserve">PNG resident-company CIT 30%</t>
  </si>
  <si>
    <t xml:space="preserve">SRC-046</t>
  </si>
  <si>
    <t xml:space="preserve">Australian Taxation Office, Company tax rates 2025-26</t>
  </si>
  <si>
    <t xml:space="preserve">ato.gov.au/tax-rates-and-codes/company-tax-rates/tax-rates-2025-26</t>
  </si>
  <si>
    <t xml:space="preserve">Australia company tax 30% (25% only for base-rate entities)</t>
  </si>
  <si>
    <t xml:space="preserve">Tax-rate and corroboration sources were confirmed through web searches that returned the authoritative pages' content; the primary Nippon Paint release itself could not be accessed.</t>
  </si>
</sst>
</file>

<file path=xl/styles.xml><?xml version="1.0" encoding="utf-8"?>
<styleSheet xmlns="http://schemas.openxmlformats.org/spreadsheetml/2006/main">
  <numFmts count="12">
    <numFmt numFmtId="164" formatCode="General"/>
    <numFmt numFmtId="165" formatCode="0.000"/>
    <numFmt numFmtId="166" formatCode="#,##0.0;\(#,##0.0\);\-"/>
    <numFmt numFmtId="167" formatCode="0.0\x"/>
    <numFmt numFmtId="168" formatCode="0.0%"/>
    <numFmt numFmtId="169" formatCode="0"/>
    <numFmt numFmtId="170" formatCode="0.00%"/>
    <numFmt numFmtId="171" formatCode="0.0"/>
    <numFmt numFmtId="172" formatCode="0.0000"/>
    <numFmt numFmtId="173" formatCode="0.00\x"/>
    <numFmt numFmtId="174" formatCode="#,##0;\(#,##0\);\-"/>
    <numFmt numFmtId="175" formatCode="0.0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b val="true"/>
      <sz val="10"/>
      <color rgb="FF1F3864"/>
      <name val="Arial"/>
      <family val="0"/>
      <charset val="1"/>
    </font>
    <font>
      <sz val="10"/>
      <color rgb="FF0000FF"/>
      <name val="Arial"/>
      <family val="0"/>
      <charset val="1"/>
    </font>
    <font>
      <b val="true"/>
      <sz val="10"/>
      <color rgb="FF000000"/>
      <name val="Arial"/>
      <family val="0"/>
      <charset val="1"/>
    </font>
    <font>
      <sz val="10"/>
      <color rgb="FF008000"/>
      <name val="Arial"/>
      <family val="0"/>
      <charset val="1"/>
    </font>
    <font>
      <b val="true"/>
      <sz val="10"/>
      <color rgb="FF008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C6E0B4"/>
        <bgColor rgb="FFBDD7EE"/>
      </patternFill>
    </fill>
    <fill>
      <patternFill patternType="solid">
        <fgColor rgb="FFBDD7EE"/>
        <bgColor rgb="FFD9E2F3"/>
      </patternFill>
    </fill>
    <fill>
      <patternFill patternType="solid">
        <fgColor rgb="FFE2EFDA"/>
        <bgColor rgb="FFD9E2F3"/>
      </patternFill>
    </fill>
    <fill>
      <patternFill patternType="solid">
        <fgColor rgb="FFFFFF00"/>
        <bgColor rgb="FFFFFF00"/>
      </patternFill>
    </fill>
    <fill>
      <patternFill patternType="solid">
        <fgColor rgb="FFFFE699"/>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9" fontId="10"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7" fillId="7"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11" fillId="7"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0" fontId="8" fillId="2"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4" fontId="7" fillId="7" borderId="1" xfId="0" applyFont="true" applyBorder="tru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70" fontId="11" fillId="7"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0" fontId="7" fillId="3" borderId="0" xfId="0" applyFont="true" applyBorder="false" applyAlignment="false" applyProtection="false">
      <alignment horizontal="general" vertical="bottom" textRotation="0" wrapText="false" indent="0" shrinkToFit="false"/>
      <protection locked="true" hidden="false"/>
    </xf>
    <xf numFmtId="170" fontId="8"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6E0B4"/>
      <rgbColor rgb="FFE2EFDA"/>
      <rgbColor rgb="FFFFE6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35"/>
  </cols>
  <sheetData>
    <row r="1" customFormat="false" ht="17.35"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row>
    <row r="5" customFormat="false" ht="48" hidden="false" customHeight="true" outlineLevel="0" collapsed="false">
      <c r="A5" s="3" t="s">
        <v>3</v>
      </c>
    </row>
    <row r="6" customFormat="false" ht="48" hidden="false" customHeight="true" outlineLevel="0" collapsed="false">
      <c r="A6" s="4" t="s">
        <v>4</v>
      </c>
    </row>
    <row r="7" customFormat="false" ht="48" hidden="false" customHeight="true" outlineLevel="0" collapsed="false">
      <c r="A7" s="4" t="s">
        <v>5</v>
      </c>
    </row>
    <row r="8" customFormat="false" ht="48" hidden="false" customHeight="true" outlineLevel="0" collapsed="false">
      <c r="A8" s="4" t="s">
        <v>6</v>
      </c>
    </row>
    <row r="9" customFormat="false" ht="48" hidden="false" customHeight="true" outlineLevel="0" collapsed="false">
      <c r="A9" s="4" t="s">
        <v>7</v>
      </c>
    </row>
    <row r="10" customFormat="false" ht="48" hidden="false" customHeight="true" outlineLevel="0" collapsed="false">
      <c r="A10" s="4" t="s">
        <v>8</v>
      </c>
    </row>
    <row r="11" customFormat="false" ht="48" hidden="false" customHeight="true" outlineLevel="0" collapsed="false">
      <c r="A11" s="4" t="s">
        <v>9</v>
      </c>
    </row>
    <row r="12" customFormat="false" ht="48" hidden="false" customHeight="true" outlineLevel="0" collapsed="false">
      <c r="A12" s="4"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6"/>
    <col collapsed="false" customWidth="true" hidden="false" outlineLevel="0" max="4" min="4" style="0" width="100"/>
  </cols>
  <sheetData>
    <row r="1" customFormat="false" ht="17.35" hidden="false" customHeight="false" outlineLevel="0" collapsed="false">
      <c r="A1" s="1" t="s">
        <v>11</v>
      </c>
    </row>
    <row r="2" customFormat="false" ht="15" hidden="false" customHeight="false" outlineLevel="0" collapsed="false">
      <c r="A2" s="2" t="s">
        <v>12</v>
      </c>
    </row>
    <row r="4" customFormat="false" ht="15" hidden="false" customHeight="false" outlineLevel="0" collapsed="false">
      <c r="A4" s="5" t="s">
        <v>13</v>
      </c>
      <c r="B4" s="6" t="s">
        <v>14</v>
      </c>
      <c r="C4" s="6" t="s">
        <v>15</v>
      </c>
      <c r="D4" s="6" t="s">
        <v>16</v>
      </c>
    </row>
    <row r="6" customFormat="false" ht="15" hidden="false" customHeight="false" outlineLevel="0" collapsed="false">
      <c r="A6" s="7" t="s">
        <v>17</v>
      </c>
      <c r="B6" s="8"/>
      <c r="C6" s="8"/>
      <c r="D6" s="8"/>
    </row>
    <row r="7" customFormat="false" ht="21.65" hidden="false" customHeight="false" outlineLevel="0" collapsed="false">
      <c r="A7" s="9" t="s">
        <v>18</v>
      </c>
      <c r="B7" s="10" t="n">
        <v>1.125</v>
      </c>
      <c r="C7" s="11" t="s">
        <v>19</v>
      </c>
      <c r="D7" s="12" t="s">
        <v>20</v>
      </c>
    </row>
    <row r="8" customFormat="false" ht="15" hidden="false" customHeight="false" outlineLevel="0" collapsed="false">
      <c r="A8" s="9" t="s">
        <v>21</v>
      </c>
      <c r="B8" s="13" t="n">
        <f aca="false">B9/B10</f>
        <v>1.125</v>
      </c>
      <c r="C8" s="14" t="s">
        <v>22</v>
      </c>
      <c r="D8" s="12" t="s">
        <v>23</v>
      </c>
    </row>
    <row r="9" customFormat="false" ht="15" hidden="false" customHeight="false" outlineLevel="0" collapsed="false">
      <c r="A9" s="9" t="s">
        <v>24</v>
      </c>
      <c r="B9" s="15" t="n">
        <v>1350</v>
      </c>
      <c r="C9" s="11" t="s">
        <v>25</v>
      </c>
      <c r="D9" s="12" t="s">
        <v>26</v>
      </c>
    </row>
    <row r="10" customFormat="false" ht="15" hidden="false" customHeight="false" outlineLevel="0" collapsed="false">
      <c r="A10" s="9" t="s">
        <v>27</v>
      </c>
      <c r="B10" s="15" t="n">
        <v>1200</v>
      </c>
      <c r="C10" s="11" t="s">
        <v>25</v>
      </c>
      <c r="D10" s="12" t="s">
        <v>28</v>
      </c>
    </row>
    <row r="11" customFormat="false" ht="15" hidden="false" customHeight="false" outlineLevel="0" collapsed="false">
      <c r="A11" s="9" t="s">
        <v>29</v>
      </c>
      <c r="B11" s="16" t="n">
        <v>21</v>
      </c>
      <c r="C11" s="11" t="s">
        <v>25</v>
      </c>
      <c r="D11" s="12" t="s">
        <v>30</v>
      </c>
    </row>
    <row r="12" customFormat="false" ht="15" hidden="false" customHeight="false" outlineLevel="0" collapsed="false">
      <c r="A12" s="9" t="s">
        <v>31</v>
      </c>
      <c r="B12" s="15" t="n">
        <v>1000</v>
      </c>
      <c r="C12" s="11" t="s">
        <v>25</v>
      </c>
      <c r="D12" s="12" t="s">
        <v>32</v>
      </c>
    </row>
    <row r="13" customFormat="false" ht="15" hidden="false" customHeight="false" outlineLevel="0" collapsed="false">
      <c r="A13" s="9" t="s">
        <v>33</v>
      </c>
      <c r="B13" s="15" t="n">
        <v>900</v>
      </c>
      <c r="C13" s="11" t="s">
        <v>25</v>
      </c>
      <c r="D13" s="12" t="s">
        <v>34</v>
      </c>
    </row>
    <row r="14" customFormat="false" ht="21.65" hidden="false" customHeight="false" outlineLevel="0" collapsed="false">
      <c r="A14" s="9" t="s">
        <v>35</v>
      </c>
      <c r="B14" s="16" t="n">
        <v>16</v>
      </c>
      <c r="C14" s="17" t="s">
        <v>36</v>
      </c>
      <c r="D14" s="12" t="s">
        <v>37</v>
      </c>
    </row>
    <row r="15" customFormat="false" ht="21.65" hidden="false" customHeight="false" outlineLevel="0" collapsed="false">
      <c r="A15" s="9" t="s">
        <v>38</v>
      </c>
      <c r="B15" s="9" t="s">
        <v>39</v>
      </c>
      <c r="C15" s="11" t="s">
        <v>25</v>
      </c>
      <c r="D15" s="12" t="s">
        <v>40</v>
      </c>
    </row>
    <row r="16" customFormat="false" ht="15" hidden="false" customHeight="false" outlineLevel="0" collapsed="false">
      <c r="A16" s="9" t="s">
        <v>41</v>
      </c>
      <c r="B16" s="9" t="s">
        <v>42</v>
      </c>
      <c r="C16" s="11" t="s">
        <v>25</v>
      </c>
      <c r="D16" s="12" t="s">
        <v>43</v>
      </c>
    </row>
    <row r="18" customFormat="false" ht="15" hidden="false" customHeight="false" outlineLevel="0" collapsed="false">
      <c r="A18" s="7" t="s">
        <v>44</v>
      </c>
      <c r="B18" s="8"/>
      <c r="C18" s="8"/>
      <c r="D18" s="8"/>
    </row>
    <row r="19" customFormat="false" ht="21.65" hidden="false" customHeight="false" outlineLevel="0" collapsed="false">
      <c r="A19" s="9" t="s">
        <v>45</v>
      </c>
      <c r="B19" s="15" t="n">
        <v>299</v>
      </c>
      <c r="C19" s="17" t="s">
        <v>36</v>
      </c>
      <c r="D19" s="12" t="s">
        <v>46</v>
      </c>
    </row>
    <row r="20" customFormat="false" ht="21.65" hidden="false" customHeight="false" outlineLevel="0" collapsed="false">
      <c r="A20" s="9" t="s">
        <v>47</v>
      </c>
      <c r="B20" s="15" t="n">
        <v>291</v>
      </c>
      <c r="C20" s="17" t="s">
        <v>36</v>
      </c>
      <c r="D20" s="12" t="s">
        <v>48</v>
      </c>
    </row>
    <row r="21" customFormat="false" ht="15" hidden="false" customHeight="false" outlineLevel="0" collapsed="false">
      <c r="A21" s="9" t="s">
        <v>49</v>
      </c>
      <c r="B21" s="15" t="n">
        <v>69</v>
      </c>
      <c r="C21" s="17" t="s">
        <v>36</v>
      </c>
      <c r="D21" s="12" t="s">
        <v>50</v>
      </c>
    </row>
    <row r="22" customFormat="false" ht="15" hidden="false" customHeight="false" outlineLevel="0" collapsed="false">
      <c r="A22" s="9" t="s">
        <v>51</v>
      </c>
      <c r="B22" s="15" t="n">
        <v>65</v>
      </c>
      <c r="C22" s="17" t="s">
        <v>36</v>
      </c>
      <c r="D22" s="12" t="s">
        <v>52</v>
      </c>
    </row>
    <row r="23" customFormat="false" ht="15" hidden="false" customHeight="false" outlineLevel="0" collapsed="false">
      <c r="A23" s="9" t="s">
        <v>53</v>
      </c>
      <c r="B23" s="18" t="n">
        <f aca="false">B21/B19</f>
        <v>0.230769230769231</v>
      </c>
      <c r="C23" s="14" t="s">
        <v>22</v>
      </c>
      <c r="D23" s="12" t="s">
        <v>54</v>
      </c>
    </row>
    <row r="24" customFormat="false" ht="15" hidden="false" customHeight="false" outlineLevel="0" collapsed="false">
      <c r="A24" s="9" t="s">
        <v>55</v>
      </c>
      <c r="B24" s="18" t="n">
        <f aca="false">B22/B20</f>
        <v>0.223367697594502</v>
      </c>
      <c r="C24" s="14" t="s">
        <v>22</v>
      </c>
      <c r="D24" s="12" t="s">
        <v>56</v>
      </c>
    </row>
    <row r="25" customFormat="false" ht="15" hidden="false" customHeight="false" outlineLevel="0" collapsed="false">
      <c r="A25" s="9" t="s">
        <v>57</v>
      </c>
      <c r="B25" s="19" t="n">
        <f aca="false">B19/B7</f>
        <v>265.777777777778</v>
      </c>
      <c r="C25" s="14" t="s">
        <v>22</v>
      </c>
      <c r="D25" s="12" t="s">
        <v>58</v>
      </c>
    </row>
    <row r="26" customFormat="false" ht="15" hidden="false" customHeight="false" outlineLevel="0" collapsed="false">
      <c r="A26" s="9" t="s">
        <v>59</v>
      </c>
      <c r="B26" s="19" t="n">
        <f aca="false">B20/B7</f>
        <v>258.666666666667</v>
      </c>
      <c r="C26" s="14" t="s">
        <v>22</v>
      </c>
      <c r="D26" s="12" t="s">
        <v>58</v>
      </c>
    </row>
    <row r="27" customFormat="false" ht="15" hidden="false" customHeight="false" outlineLevel="0" collapsed="false">
      <c r="A27" s="9" t="s">
        <v>60</v>
      </c>
      <c r="B27" s="19" t="n">
        <f aca="false">B21/B7</f>
        <v>61.3333333333333</v>
      </c>
      <c r="C27" s="14" t="s">
        <v>22</v>
      </c>
      <c r="D27" s="12" t="s">
        <v>58</v>
      </c>
    </row>
    <row r="28" customFormat="false" ht="15" hidden="false" customHeight="false" outlineLevel="0" collapsed="false">
      <c r="A28" s="9" t="s">
        <v>61</v>
      </c>
      <c r="B28" s="19" t="n">
        <f aca="false">B22/B7</f>
        <v>57.7777777777778</v>
      </c>
      <c r="C28" s="14" t="s">
        <v>22</v>
      </c>
      <c r="D28" s="12" t="s">
        <v>58</v>
      </c>
    </row>
    <row r="29" customFormat="false" ht="15" hidden="false" customHeight="false" outlineLevel="0" collapsed="false">
      <c r="A29" s="9" t="s">
        <v>62</v>
      </c>
      <c r="B29" s="15" t="n">
        <v>330</v>
      </c>
      <c r="C29" s="17" t="s">
        <v>63</v>
      </c>
      <c r="D29" s="12" t="s">
        <v>64</v>
      </c>
    </row>
    <row r="30" customFormat="false" ht="15" hidden="false" customHeight="false" outlineLevel="0" collapsed="false">
      <c r="A30" s="9" t="s">
        <v>65</v>
      </c>
      <c r="B30" s="20" t="n">
        <v>0.26</v>
      </c>
      <c r="C30" s="17" t="s">
        <v>63</v>
      </c>
      <c r="D30" s="12" t="s">
        <v>66</v>
      </c>
    </row>
    <row r="31" customFormat="false" ht="15" hidden="false" customHeight="false" outlineLevel="0" collapsed="false">
      <c r="A31" s="9" t="s">
        <v>67</v>
      </c>
      <c r="B31" s="19" t="n">
        <f aca="false">B29*B30</f>
        <v>85.8</v>
      </c>
      <c r="C31" s="14" t="s">
        <v>22</v>
      </c>
      <c r="D31" s="12" t="s">
        <v>68</v>
      </c>
    </row>
    <row r="32" customFormat="false" ht="15" hidden="false" customHeight="false" outlineLevel="0" collapsed="false">
      <c r="A32" s="9" t="s">
        <v>69</v>
      </c>
      <c r="B32" s="21" t="n">
        <f aca="false">B9/B31</f>
        <v>15.7342657342657</v>
      </c>
      <c r="C32" s="14" t="s">
        <v>22</v>
      </c>
      <c r="D32" s="12" t="s">
        <v>70</v>
      </c>
    </row>
    <row r="34" customFormat="false" ht="15" hidden="false" customHeight="false" outlineLevel="0" collapsed="false">
      <c r="A34" s="7" t="s">
        <v>71</v>
      </c>
      <c r="B34" s="8"/>
      <c r="C34" s="8"/>
      <c r="D34" s="8"/>
    </row>
    <row r="35" customFormat="false" ht="21.65" hidden="false" customHeight="false" outlineLevel="0" collapsed="false">
      <c r="A35" s="9" t="s">
        <v>72</v>
      </c>
      <c r="B35" s="22" t="n">
        <v>1</v>
      </c>
      <c r="C35" s="23" t="s">
        <v>73</v>
      </c>
      <c r="D35" s="12" t="s">
        <v>74</v>
      </c>
    </row>
    <row r="36" customFormat="false" ht="15" hidden="false" customHeight="false" outlineLevel="0" collapsed="false">
      <c r="A36" s="9" t="s">
        <v>75</v>
      </c>
      <c r="B36" s="9" t="str">
        <f aca="false">CHOOSE(B35,"Base","Buyer","Downside")</f>
        <v>Base</v>
      </c>
      <c r="C36" s="14" t="s">
        <v>22</v>
      </c>
      <c r="D36" s="12"/>
    </row>
    <row r="38" customFormat="false" ht="15" hidden="false" customHeight="false" outlineLevel="0" collapsed="false">
      <c r="A38" s="7" t="s">
        <v>76</v>
      </c>
      <c r="B38" s="8"/>
      <c r="C38" s="8"/>
      <c r="D38" s="8"/>
    </row>
    <row r="39" customFormat="false" ht="15" hidden="false" customHeight="false" outlineLevel="0" collapsed="false">
      <c r="A39" s="9" t="s">
        <v>77</v>
      </c>
      <c r="B39" s="20" t="n">
        <v>0.4</v>
      </c>
      <c r="C39" s="23" t="s">
        <v>73</v>
      </c>
      <c r="D39" s="12" t="s">
        <v>78</v>
      </c>
    </row>
    <row r="40" customFormat="false" ht="15" hidden="false" customHeight="false" outlineLevel="0" collapsed="false">
      <c r="A40" s="9" t="s">
        <v>79</v>
      </c>
      <c r="B40" s="20" t="n">
        <v>0.25</v>
      </c>
      <c r="C40" s="23" t="s">
        <v>73</v>
      </c>
      <c r="D40" s="12" t="s">
        <v>80</v>
      </c>
    </row>
    <row r="41" customFormat="false" ht="15" hidden="false" customHeight="false" outlineLevel="0" collapsed="false">
      <c r="A41" s="9" t="s">
        <v>81</v>
      </c>
      <c r="B41" s="20" t="n">
        <v>0.2</v>
      </c>
      <c r="C41" s="23" t="s">
        <v>73</v>
      </c>
      <c r="D41" s="12" t="s">
        <v>80</v>
      </c>
    </row>
    <row r="42" customFormat="false" ht="15" hidden="false" customHeight="false" outlineLevel="0" collapsed="false">
      <c r="A42" s="9" t="s">
        <v>82</v>
      </c>
      <c r="B42" s="20" t="n">
        <v>0.15</v>
      </c>
      <c r="C42" s="23" t="s">
        <v>73</v>
      </c>
      <c r="D42" s="12" t="s">
        <v>80</v>
      </c>
    </row>
    <row r="43" customFormat="false" ht="21.65" hidden="false" customHeight="false" outlineLevel="0" collapsed="false">
      <c r="A43" s="9" t="s">
        <v>83</v>
      </c>
      <c r="B43" s="20" t="n">
        <v>0.08</v>
      </c>
      <c r="C43" s="23" t="s">
        <v>73</v>
      </c>
      <c r="D43" s="12" t="s">
        <v>84</v>
      </c>
    </row>
    <row r="44" customFormat="false" ht="15" hidden="false" customHeight="false" outlineLevel="0" collapsed="false">
      <c r="A44" s="9" t="s">
        <v>85</v>
      </c>
      <c r="B44" s="20" t="n">
        <v>0.05</v>
      </c>
      <c r="C44" s="23" t="s">
        <v>73</v>
      </c>
      <c r="D44" s="12" t="s">
        <v>86</v>
      </c>
    </row>
    <row r="45" customFormat="false" ht="15" hidden="false" customHeight="false" outlineLevel="0" collapsed="false">
      <c r="A45" s="9" t="s">
        <v>87</v>
      </c>
      <c r="B45" s="20" t="n">
        <v>0.02</v>
      </c>
      <c r="C45" s="23" t="s">
        <v>73</v>
      </c>
      <c r="D45" s="12" t="s">
        <v>88</v>
      </c>
    </row>
    <row r="46" customFormat="false" ht="15" hidden="false" customHeight="false" outlineLevel="0" collapsed="false">
      <c r="A46" s="9" t="s">
        <v>89</v>
      </c>
      <c r="B46" s="18" t="n">
        <f aca="false">B43+B44+B45</f>
        <v>0.15</v>
      </c>
      <c r="C46" s="14" t="s">
        <v>22</v>
      </c>
      <c r="D46" s="12" t="s">
        <v>90</v>
      </c>
    </row>
    <row r="48" customFormat="false" ht="15" hidden="false" customHeight="false" outlineLevel="0" collapsed="false">
      <c r="A48" s="5" t="s">
        <v>91</v>
      </c>
      <c r="B48" s="6" t="s">
        <v>92</v>
      </c>
      <c r="C48" s="6" t="s">
        <v>15</v>
      </c>
      <c r="D48" s="6" t="s">
        <v>93</v>
      </c>
    </row>
    <row r="49" customFormat="false" ht="15" hidden="false" customHeight="false" outlineLevel="0" collapsed="false">
      <c r="A49" s="9" t="s">
        <v>94</v>
      </c>
      <c r="B49" s="18" t="n">
        <f aca="false">B39*(1-B46)</f>
        <v>0.34</v>
      </c>
      <c r="C49" s="23" t="s">
        <v>73</v>
      </c>
      <c r="D49" s="12" t="s">
        <v>95</v>
      </c>
    </row>
    <row r="50" customFormat="false" ht="15" hidden="false" customHeight="false" outlineLevel="0" collapsed="false">
      <c r="A50" s="9" t="s">
        <v>96</v>
      </c>
      <c r="B50" s="18" t="n">
        <f aca="false">B40*(1-B46)</f>
        <v>0.2125</v>
      </c>
      <c r="C50" s="23" t="s">
        <v>73</v>
      </c>
      <c r="D50" s="12" t="s">
        <v>95</v>
      </c>
    </row>
    <row r="51" customFormat="false" ht="15" hidden="false" customHeight="false" outlineLevel="0" collapsed="false">
      <c r="A51" s="9" t="s">
        <v>97</v>
      </c>
      <c r="B51" s="18" t="n">
        <f aca="false">B41*(1-B46)</f>
        <v>0.17</v>
      </c>
      <c r="C51" s="23" t="s">
        <v>73</v>
      </c>
      <c r="D51" s="12" t="s">
        <v>95</v>
      </c>
    </row>
    <row r="52" customFormat="false" ht="15" hidden="false" customHeight="false" outlineLevel="0" collapsed="false">
      <c r="A52" s="9" t="s">
        <v>98</v>
      </c>
      <c r="B52" s="18" t="n">
        <f aca="false">B42*(1-B46)</f>
        <v>0.1275</v>
      </c>
      <c r="C52" s="23" t="s">
        <v>73</v>
      </c>
      <c r="D52" s="12" t="s">
        <v>95</v>
      </c>
    </row>
    <row r="53" customFormat="false" ht="15" hidden="false" customHeight="false" outlineLevel="0" collapsed="false">
      <c r="A53" s="9" t="s">
        <v>99</v>
      </c>
      <c r="B53" s="18" t="n">
        <f aca="false">B43</f>
        <v>0.08</v>
      </c>
      <c r="C53" s="23" t="s">
        <v>73</v>
      </c>
      <c r="D53" s="12" t="s">
        <v>100</v>
      </c>
    </row>
    <row r="54" customFormat="false" ht="15" hidden="false" customHeight="false" outlineLevel="0" collapsed="false">
      <c r="A54" s="9" t="s">
        <v>101</v>
      </c>
      <c r="B54" s="18" t="n">
        <f aca="false">B44</f>
        <v>0.05</v>
      </c>
      <c r="C54" s="23" t="s">
        <v>73</v>
      </c>
      <c r="D54" s="12" t="s">
        <v>100</v>
      </c>
    </row>
    <row r="55" customFormat="false" ht="15" hidden="false" customHeight="false" outlineLevel="0" collapsed="false">
      <c r="A55" s="9" t="s">
        <v>102</v>
      </c>
      <c r="B55" s="18" t="n">
        <f aca="false">B45</f>
        <v>0.02</v>
      </c>
      <c r="C55" s="23" t="s">
        <v>73</v>
      </c>
      <c r="D55" s="12" t="s">
        <v>100</v>
      </c>
    </row>
    <row r="56" customFormat="false" ht="15" hidden="false" customHeight="false" outlineLevel="0" collapsed="false">
      <c r="A56" s="9" t="s">
        <v>103</v>
      </c>
      <c r="B56" s="18" t="n">
        <f aca="false">SUM(B49:B55)</f>
        <v>1</v>
      </c>
      <c r="C56" s="14" t="s">
        <v>22</v>
      </c>
      <c r="D56" s="12"/>
    </row>
    <row r="58" customFormat="false" ht="15" hidden="false" customHeight="false" outlineLevel="0" collapsed="false">
      <c r="A58" s="5" t="s">
        <v>104</v>
      </c>
      <c r="B58" s="6" t="s">
        <v>105</v>
      </c>
      <c r="C58" s="6" t="s">
        <v>15</v>
      </c>
      <c r="D58" s="6" t="s">
        <v>106</v>
      </c>
    </row>
    <row r="59" customFormat="false" ht="15" hidden="false" customHeight="false" outlineLevel="0" collapsed="false">
      <c r="A59" s="9" t="s">
        <v>94</v>
      </c>
      <c r="B59" s="20" t="n">
        <v>0.22</v>
      </c>
      <c r="C59" s="11" t="s">
        <v>25</v>
      </c>
      <c r="D59" s="12" t="s">
        <v>107</v>
      </c>
    </row>
    <row r="60" customFormat="false" ht="15" hidden="false" customHeight="false" outlineLevel="0" collapsed="false">
      <c r="A60" s="9" t="s">
        <v>96</v>
      </c>
      <c r="B60" s="20" t="n">
        <v>0.2</v>
      </c>
      <c r="C60" s="11" t="s">
        <v>25</v>
      </c>
      <c r="D60" s="12" t="s">
        <v>108</v>
      </c>
    </row>
    <row r="61" customFormat="false" ht="15" hidden="false" customHeight="false" outlineLevel="0" collapsed="false">
      <c r="A61" s="9" t="s">
        <v>97</v>
      </c>
      <c r="B61" s="20" t="n">
        <v>0.2</v>
      </c>
      <c r="C61" s="11" t="s">
        <v>25</v>
      </c>
      <c r="D61" s="12" t="s">
        <v>109</v>
      </c>
    </row>
    <row r="62" customFormat="false" ht="15" hidden="false" customHeight="false" outlineLevel="0" collapsed="false">
      <c r="A62" s="9" t="s">
        <v>98</v>
      </c>
      <c r="B62" s="20" t="n">
        <v>0.24</v>
      </c>
      <c r="C62" s="11" t="s">
        <v>25</v>
      </c>
      <c r="D62" s="12" t="s">
        <v>109</v>
      </c>
    </row>
    <row r="63" customFormat="false" ht="21.65" hidden="false" customHeight="false" outlineLevel="0" collapsed="false">
      <c r="A63" s="9" t="s">
        <v>99</v>
      </c>
      <c r="B63" s="20" t="n">
        <v>0.3</v>
      </c>
      <c r="C63" s="11" t="s">
        <v>25</v>
      </c>
      <c r="D63" s="12" t="s">
        <v>110</v>
      </c>
    </row>
    <row r="64" customFormat="false" ht="15" hidden="false" customHeight="false" outlineLevel="0" collapsed="false">
      <c r="A64" s="9" t="s">
        <v>101</v>
      </c>
      <c r="B64" s="20" t="n">
        <v>0.17</v>
      </c>
      <c r="C64" s="11" t="s">
        <v>25</v>
      </c>
      <c r="D64" s="12" t="s">
        <v>111</v>
      </c>
    </row>
    <row r="65" customFormat="false" ht="21.65" hidden="false" customHeight="false" outlineLevel="0" collapsed="false">
      <c r="A65" s="9" t="s">
        <v>102</v>
      </c>
      <c r="B65" s="20" t="n">
        <v>0.3</v>
      </c>
      <c r="C65" s="11" t="s">
        <v>25</v>
      </c>
      <c r="D65" s="12" t="s">
        <v>112</v>
      </c>
    </row>
    <row r="66" customFormat="false" ht="15" hidden="false" customHeight="false" outlineLevel="0" collapsed="false">
      <c r="A66" s="9" t="s">
        <v>113</v>
      </c>
      <c r="B66" s="24" t="n">
        <f aca="false">SUMPRODUCT(B49:B55,B59:B65)</f>
        <v>0.2204</v>
      </c>
      <c r="C66" s="14" t="s">
        <v>22</v>
      </c>
      <c r="D66" s="12" t="s">
        <v>114</v>
      </c>
    </row>
    <row r="68" customFormat="false" ht="15" hidden="false" customHeight="false" outlineLevel="0" collapsed="false">
      <c r="A68" s="5" t="s">
        <v>115</v>
      </c>
      <c r="B68" s="6" t="s">
        <v>116</v>
      </c>
      <c r="C68" s="6" t="s">
        <v>15</v>
      </c>
      <c r="D68" s="6" t="s">
        <v>117</v>
      </c>
    </row>
    <row r="69" customFormat="false" ht="31.9" hidden="false" customHeight="false" outlineLevel="0" collapsed="false">
      <c r="A69" s="9" t="s">
        <v>94</v>
      </c>
      <c r="B69" s="20" t="n">
        <v>0.02</v>
      </c>
      <c r="C69" s="23" t="s">
        <v>73</v>
      </c>
      <c r="D69" s="12" t="s">
        <v>118</v>
      </c>
    </row>
    <row r="70" customFormat="false" ht="31.9" hidden="false" customHeight="false" outlineLevel="0" collapsed="false">
      <c r="A70" s="9" t="s">
        <v>96</v>
      </c>
      <c r="B70" s="20" t="n">
        <v>0.01</v>
      </c>
      <c r="C70" s="23" t="s">
        <v>73</v>
      </c>
      <c r="D70" s="12" t="s">
        <v>119</v>
      </c>
    </row>
    <row r="71" customFormat="false" ht="31.9" hidden="false" customHeight="false" outlineLevel="0" collapsed="false">
      <c r="A71" s="9" t="s">
        <v>97</v>
      </c>
      <c r="B71" s="20" t="n">
        <v>0.02</v>
      </c>
      <c r="C71" s="23" t="s">
        <v>73</v>
      </c>
      <c r="D71" s="12" t="s">
        <v>120</v>
      </c>
    </row>
    <row r="72" customFormat="false" ht="31.9" hidden="false" customHeight="false" outlineLevel="0" collapsed="false">
      <c r="A72" s="9" t="s">
        <v>98</v>
      </c>
      <c r="B72" s="20" t="n">
        <v>0.01</v>
      </c>
      <c r="C72" s="23" t="s">
        <v>73</v>
      </c>
      <c r="D72" s="12" t="s">
        <v>121</v>
      </c>
    </row>
    <row r="73" customFormat="false" ht="31.9" hidden="false" customHeight="false" outlineLevel="0" collapsed="false">
      <c r="A73" s="9" t="s">
        <v>99</v>
      </c>
      <c r="B73" s="20" t="n">
        <v>0</v>
      </c>
      <c r="C73" s="23" t="s">
        <v>73</v>
      </c>
      <c r="D73" s="12" t="s">
        <v>122</v>
      </c>
    </row>
    <row r="74" customFormat="false" ht="31.9" hidden="false" customHeight="false" outlineLevel="0" collapsed="false">
      <c r="A74" s="9" t="s">
        <v>101</v>
      </c>
      <c r="B74" s="20" t="n">
        <v>0</v>
      </c>
      <c r="C74" s="23" t="s">
        <v>73</v>
      </c>
      <c r="D74" s="12" t="s">
        <v>122</v>
      </c>
    </row>
    <row r="75" customFormat="false" ht="31.9" hidden="false" customHeight="false" outlineLevel="0" collapsed="false">
      <c r="A75" s="9" t="s">
        <v>102</v>
      </c>
      <c r="B75" s="20" t="n">
        <v>0.04</v>
      </c>
      <c r="C75" s="23" t="s">
        <v>73</v>
      </c>
      <c r="D75" s="12" t="s">
        <v>123</v>
      </c>
    </row>
    <row r="76" customFormat="false" ht="15" hidden="false" customHeight="false" outlineLevel="0" collapsed="false">
      <c r="A76" s="9" t="s">
        <v>124</v>
      </c>
      <c r="B76" s="24" t="n">
        <f aca="false">SUMPRODUCT(B49:B55,B69:B75)</f>
        <v>0.0144</v>
      </c>
      <c r="C76" s="14" t="s">
        <v>22</v>
      </c>
      <c r="D76" s="12" t="s">
        <v>125</v>
      </c>
    </row>
    <row r="78" customFormat="false" ht="15" hidden="false" customHeight="false" outlineLevel="0" collapsed="false">
      <c r="A78" s="7" t="s">
        <v>126</v>
      </c>
      <c r="B78" s="8"/>
      <c r="C78" s="8"/>
      <c r="D78" s="8"/>
    </row>
    <row r="79" customFormat="false" ht="15" hidden="false" customHeight="false" outlineLevel="0" collapsed="false">
      <c r="A79" s="9" t="s">
        <v>127</v>
      </c>
      <c r="B79" s="24" t="n">
        <f aca="false">AVERAGE(B59:B65)</f>
        <v>0.232857142857143</v>
      </c>
      <c r="C79" s="14" t="s">
        <v>22</v>
      </c>
      <c r="D79" s="12" t="s">
        <v>128</v>
      </c>
    </row>
    <row r="80" customFormat="false" ht="15" hidden="false" customHeight="false" outlineLevel="0" collapsed="false">
      <c r="A80" s="9" t="s">
        <v>129</v>
      </c>
      <c r="B80" s="24" t="n">
        <f aca="false">AVERAGE(B69:B75)</f>
        <v>0.0142857142857143</v>
      </c>
      <c r="C80" s="14" t="s">
        <v>22</v>
      </c>
      <c r="D80" s="12"/>
    </row>
    <row r="81" customFormat="false" ht="21.65" hidden="false" customHeight="false" outlineLevel="0" collapsed="false">
      <c r="A81" s="9" t="s">
        <v>130</v>
      </c>
      <c r="B81" s="24" t="n">
        <f aca="false">(B89*(1-B79)*B91+(B84+B86*B85+B80)*(1-B91))-B92</f>
        <v>-0.00022845714285713</v>
      </c>
      <c r="C81" s="14" t="s">
        <v>22</v>
      </c>
      <c r="D81" s="12" t="s">
        <v>131</v>
      </c>
    </row>
    <row r="83" customFormat="false" ht="15" hidden="false" customHeight="false" outlineLevel="0" collapsed="false">
      <c r="A83" s="7" t="s">
        <v>132</v>
      </c>
      <c r="B83" s="8"/>
      <c r="C83" s="8"/>
      <c r="D83" s="8"/>
    </row>
    <row r="84" customFormat="false" ht="15" hidden="false" customHeight="false" outlineLevel="0" collapsed="false">
      <c r="A84" s="9" t="s">
        <v>133</v>
      </c>
      <c r="B84" s="20" t="n">
        <v>0.04</v>
      </c>
      <c r="C84" s="23" t="s">
        <v>73</v>
      </c>
      <c r="D84" s="12" t="s">
        <v>134</v>
      </c>
    </row>
    <row r="85" customFormat="false" ht="15" hidden="false" customHeight="false" outlineLevel="0" collapsed="false">
      <c r="A85" s="9" t="s">
        <v>135</v>
      </c>
      <c r="B85" s="20" t="n">
        <v>0.055</v>
      </c>
      <c r="C85" s="23" t="s">
        <v>73</v>
      </c>
      <c r="D85" s="12" t="s">
        <v>134</v>
      </c>
    </row>
    <row r="86" customFormat="false" ht="21.65" hidden="false" customHeight="false" outlineLevel="0" collapsed="false">
      <c r="A86" s="9" t="s">
        <v>136</v>
      </c>
      <c r="B86" s="10" t="n">
        <v>0.821</v>
      </c>
      <c r="C86" s="14" t="s">
        <v>22</v>
      </c>
      <c r="D86" s="12" t="s">
        <v>137</v>
      </c>
    </row>
    <row r="87" customFormat="false" ht="15" hidden="false" customHeight="false" outlineLevel="0" collapsed="false">
      <c r="A87" s="9" t="s">
        <v>138</v>
      </c>
      <c r="B87" s="24" t="n">
        <f aca="false">B76</f>
        <v>0.0144</v>
      </c>
      <c r="C87" s="14" t="s">
        <v>22</v>
      </c>
      <c r="D87" s="12" t="s">
        <v>139</v>
      </c>
    </row>
    <row r="88" customFormat="false" ht="15" hidden="false" customHeight="false" outlineLevel="0" collapsed="false">
      <c r="A88" s="9" t="s">
        <v>140</v>
      </c>
      <c r="B88" s="24" t="n">
        <f aca="false">B84+B86*B85+B87</f>
        <v>0.099555</v>
      </c>
      <c r="C88" s="14" t="s">
        <v>22</v>
      </c>
      <c r="D88" s="12" t="s">
        <v>141</v>
      </c>
    </row>
    <row r="89" customFormat="false" ht="15" hidden="false" customHeight="false" outlineLevel="0" collapsed="false">
      <c r="A89" s="9" t="s">
        <v>142</v>
      </c>
      <c r="B89" s="20" t="n">
        <v>0.055</v>
      </c>
      <c r="C89" s="23" t="s">
        <v>73</v>
      </c>
      <c r="D89" s="12" t="s">
        <v>134</v>
      </c>
    </row>
    <row r="90" customFormat="false" ht="15" hidden="false" customHeight="false" outlineLevel="0" collapsed="false">
      <c r="A90" s="9" t="s">
        <v>143</v>
      </c>
      <c r="B90" s="24" t="n">
        <f aca="false">B89*(1-B66)</f>
        <v>0.042878</v>
      </c>
      <c r="C90" s="14" t="s">
        <v>22</v>
      </c>
      <c r="D90" s="12" t="s">
        <v>144</v>
      </c>
    </row>
    <row r="91" customFormat="false" ht="15" hidden="false" customHeight="false" outlineLevel="0" collapsed="false">
      <c r="A91" s="9" t="s">
        <v>145</v>
      </c>
      <c r="B91" s="20" t="n">
        <v>0.2</v>
      </c>
      <c r="C91" s="23" t="s">
        <v>73</v>
      </c>
      <c r="D91" s="12" t="s">
        <v>134</v>
      </c>
    </row>
    <row r="92" customFormat="false" ht="15" hidden="false" customHeight="false" outlineLevel="0" collapsed="false">
      <c r="A92" s="9" t="s">
        <v>146</v>
      </c>
      <c r="B92" s="25" t="n">
        <f aca="false">B90*B91+B88*(1-B91)</f>
        <v>0.0882196</v>
      </c>
      <c r="C92" s="14" t="s">
        <v>22</v>
      </c>
      <c r="D92" s="12"/>
    </row>
    <row r="93" customFormat="false" ht="15" hidden="false" customHeight="false" outlineLevel="0" collapsed="false">
      <c r="A93" s="9" t="s">
        <v>147</v>
      </c>
      <c r="B93" s="20" t="n">
        <v>0.03</v>
      </c>
      <c r="C93" s="23" t="s">
        <v>73</v>
      </c>
      <c r="D93" s="12" t="s">
        <v>148</v>
      </c>
    </row>
    <row r="94" customFormat="false" ht="15" hidden="false" customHeight="false" outlineLevel="0" collapsed="false">
      <c r="A94" s="9" t="s">
        <v>149</v>
      </c>
      <c r="B94" s="20" t="n">
        <v>0.005</v>
      </c>
      <c r="C94" s="23" t="s">
        <v>73</v>
      </c>
      <c r="D94" s="12" t="s">
        <v>150</v>
      </c>
    </row>
    <row r="95" customFormat="false" ht="15" hidden="false" customHeight="false" outlineLevel="0" collapsed="false">
      <c r="A95" s="9" t="s">
        <v>151</v>
      </c>
      <c r="B95" s="20" t="n">
        <v>0.005</v>
      </c>
      <c r="C95" s="23" t="s">
        <v>73</v>
      </c>
      <c r="D95" s="12" t="s">
        <v>150</v>
      </c>
    </row>
    <row r="96" customFormat="false" ht="15" hidden="false" customHeight="false" outlineLevel="0" collapsed="false">
      <c r="A96" s="9" t="s">
        <v>152</v>
      </c>
      <c r="B96" s="20" t="n">
        <v>0.02</v>
      </c>
      <c r="C96" s="23" t="s">
        <v>73</v>
      </c>
      <c r="D96" s="12" t="s">
        <v>153</v>
      </c>
    </row>
    <row r="98" customFormat="false" ht="15" hidden="false" customHeight="false" outlineLevel="0" collapsed="false">
      <c r="A98" s="7" t="s">
        <v>154</v>
      </c>
      <c r="B98" s="8"/>
      <c r="C98" s="8"/>
      <c r="D98" s="8"/>
    </row>
    <row r="99" customFormat="false" ht="15" hidden="false" customHeight="false" outlineLevel="0" collapsed="false">
      <c r="A99" s="9" t="s">
        <v>155</v>
      </c>
      <c r="B99" s="20" t="n">
        <v>0.45</v>
      </c>
      <c r="C99" s="23" t="s">
        <v>73</v>
      </c>
      <c r="D99" s="12" t="s">
        <v>156</v>
      </c>
    </row>
    <row r="100" customFormat="false" ht="15" hidden="false" customHeight="false" outlineLevel="0" collapsed="false">
      <c r="A100" s="9" t="s">
        <v>157</v>
      </c>
      <c r="B100" s="20" t="n">
        <v>0.025</v>
      </c>
      <c r="C100" s="23" t="s">
        <v>73</v>
      </c>
      <c r="D100" s="12" t="s">
        <v>158</v>
      </c>
    </row>
    <row r="101" customFormat="false" ht="15" hidden="false" customHeight="false" outlineLevel="0" collapsed="false">
      <c r="A101" s="9" t="s">
        <v>159</v>
      </c>
      <c r="B101" s="20" t="n">
        <v>0.035</v>
      </c>
      <c r="C101" s="23" t="s">
        <v>73</v>
      </c>
      <c r="D101" s="12" t="s">
        <v>160</v>
      </c>
    </row>
    <row r="102" customFormat="false" ht="15" hidden="false" customHeight="false" outlineLevel="0" collapsed="false">
      <c r="A102" s="9" t="s">
        <v>161</v>
      </c>
      <c r="B102" s="20" t="n">
        <v>0.035</v>
      </c>
      <c r="C102" s="23" t="s">
        <v>73</v>
      </c>
      <c r="D102" s="12" t="s">
        <v>80</v>
      </c>
    </row>
    <row r="103" customFormat="false" ht="15" hidden="false" customHeight="false" outlineLevel="0" collapsed="false">
      <c r="A103" s="9" t="s">
        <v>162</v>
      </c>
      <c r="B103" s="20" t="n">
        <v>0.03</v>
      </c>
      <c r="C103" s="23" t="s">
        <v>73</v>
      </c>
      <c r="D103" s="12" t="s">
        <v>80</v>
      </c>
    </row>
    <row r="104" customFormat="false" ht="15" hidden="false" customHeight="false" outlineLevel="0" collapsed="false">
      <c r="A104" s="9" t="s">
        <v>163</v>
      </c>
      <c r="B104" s="20" t="n">
        <v>0.03</v>
      </c>
      <c r="C104" s="23" t="s">
        <v>73</v>
      </c>
      <c r="D104" s="12" t="s">
        <v>80</v>
      </c>
    </row>
    <row r="105" customFormat="false" ht="15" hidden="false" customHeight="false" outlineLevel="0" collapsed="false">
      <c r="A105" s="9" t="s">
        <v>164</v>
      </c>
      <c r="B105" s="20" t="n">
        <v>0.03</v>
      </c>
      <c r="C105" s="23" t="s">
        <v>73</v>
      </c>
      <c r="D105" s="12" t="s">
        <v>80</v>
      </c>
    </row>
    <row r="106" customFormat="false" ht="15" hidden="false" customHeight="false" outlineLevel="0" collapsed="false">
      <c r="A106" s="9" t="s">
        <v>165</v>
      </c>
      <c r="B106" s="20" t="n">
        <v>0.03</v>
      </c>
      <c r="C106" s="23" t="s">
        <v>73</v>
      </c>
      <c r="D106" s="12" t="s">
        <v>166</v>
      </c>
    </row>
    <row r="107" customFormat="false" ht="15" hidden="false" customHeight="false" outlineLevel="0" collapsed="false">
      <c r="A107" s="9" t="s">
        <v>167</v>
      </c>
      <c r="B107" s="26" t="n">
        <v>45</v>
      </c>
      <c r="C107" s="23" t="s">
        <v>73</v>
      </c>
      <c r="D107" s="12" t="s">
        <v>158</v>
      </c>
    </row>
    <row r="108" customFormat="false" ht="15" hidden="false" customHeight="false" outlineLevel="0" collapsed="false">
      <c r="A108" s="9" t="s">
        <v>168</v>
      </c>
      <c r="B108" s="26" t="n">
        <v>60</v>
      </c>
      <c r="C108" s="23" t="s">
        <v>73</v>
      </c>
      <c r="D108" s="12" t="s">
        <v>158</v>
      </c>
    </row>
    <row r="109" customFormat="false" ht="15" hidden="false" customHeight="false" outlineLevel="0" collapsed="false">
      <c r="A109" s="9" t="s">
        <v>169</v>
      </c>
      <c r="B109" s="26" t="n">
        <v>45</v>
      </c>
      <c r="C109" s="23" t="s">
        <v>73</v>
      </c>
      <c r="D109" s="12" t="s">
        <v>158</v>
      </c>
    </row>
    <row r="110" customFormat="false" ht="15" hidden="false" customHeight="false" outlineLevel="0" collapsed="false">
      <c r="A110" s="9" t="s">
        <v>170</v>
      </c>
      <c r="B110" s="20" t="n">
        <v>0.03</v>
      </c>
      <c r="C110" s="23" t="s">
        <v>73</v>
      </c>
      <c r="D110" s="12" t="s">
        <v>171</v>
      </c>
    </row>
    <row r="111" customFormat="false" ht="15" hidden="false" customHeight="false" outlineLevel="0" collapsed="false">
      <c r="A111" s="9" t="s">
        <v>172</v>
      </c>
      <c r="B111" s="20" t="n">
        <v>0.015</v>
      </c>
      <c r="C111" s="23" t="s">
        <v>73</v>
      </c>
      <c r="D111" s="12" t="s">
        <v>80</v>
      </c>
    </row>
    <row r="112" customFormat="false" ht="15" hidden="false" customHeight="false" outlineLevel="0" collapsed="false">
      <c r="A112" s="9" t="s">
        <v>173</v>
      </c>
      <c r="B112" s="20" t="n">
        <v>0</v>
      </c>
      <c r="C112" s="23" t="s">
        <v>73</v>
      </c>
      <c r="D112" s="12" t="s">
        <v>80</v>
      </c>
    </row>
    <row r="113" customFormat="false" ht="15" hidden="false" customHeight="false" outlineLevel="0" collapsed="false">
      <c r="A113" s="9" t="s">
        <v>174</v>
      </c>
      <c r="B113" s="20" t="n">
        <v>0</v>
      </c>
      <c r="C113" s="23" t="s">
        <v>73</v>
      </c>
      <c r="D113" s="12" t="s">
        <v>80</v>
      </c>
    </row>
    <row r="114" customFormat="false" ht="15" hidden="false" customHeight="false" outlineLevel="0" collapsed="false">
      <c r="A114" s="9" t="s">
        <v>175</v>
      </c>
      <c r="B114" s="20" t="n">
        <v>0</v>
      </c>
      <c r="C114" s="23" t="s">
        <v>73</v>
      </c>
      <c r="D114" s="12" t="s">
        <v>80</v>
      </c>
    </row>
    <row r="115" customFormat="false" ht="21.65" hidden="false" customHeight="false" outlineLevel="0" collapsed="false">
      <c r="A115" s="9" t="s">
        <v>176</v>
      </c>
      <c r="B115" s="20" t="n">
        <v>0.01</v>
      </c>
      <c r="C115" s="23" t="s">
        <v>73</v>
      </c>
      <c r="D115" s="12" t="s">
        <v>177</v>
      </c>
    </row>
    <row r="116" customFormat="false" ht="15" hidden="false" customHeight="false" outlineLevel="0" collapsed="false">
      <c r="A116" s="9" t="s">
        <v>178</v>
      </c>
      <c r="B116" s="20" t="n">
        <v>0.01</v>
      </c>
      <c r="C116" s="23" t="s">
        <v>73</v>
      </c>
      <c r="D116" s="12" t="s">
        <v>80</v>
      </c>
    </row>
    <row r="117" customFormat="false" ht="15" hidden="false" customHeight="false" outlineLevel="0" collapsed="false">
      <c r="A117" s="9" t="s">
        <v>179</v>
      </c>
      <c r="B117" s="20" t="n">
        <v>0</v>
      </c>
      <c r="C117" s="23" t="s">
        <v>73</v>
      </c>
      <c r="D117" s="12" t="s">
        <v>80</v>
      </c>
    </row>
    <row r="118" customFormat="false" ht="15" hidden="false" customHeight="false" outlineLevel="0" collapsed="false">
      <c r="A118" s="9" t="s">
        <v>180</v>
      </c>
      <c r="B118" s="20" t="n">
        <v>0</v>
      </c>
      <c r="C118" s="23" t="s">
        <v>73</v>
      </c>
      <c r="D118" s="12" t="s">
        <v>80</v>
      </c>
    </row>
    <row r="119" customFormat="false" ht="15" hidden="false" customHeight="false" outlineLevel="0" collapsed="false">
      <c r="A119" s="9" t="s">
        <v>181</v>
      </c>
      <c r="B119" s="20" t="n">
        <v>0</v>
      </c>
      <c r="C119" s="23" t="s">
        <v>73</v>
      </c>
      <c r="D119" s="12" t="s">
        <v>80</v>
      </c>
    </row>
    <row r="120" customFormat="false" ht="21.65" hidden="false" customHeight="false" outlineLevel="0" collapsed="false">
      <c r="A120" s="9" t="s">
        <v>182</v>
      </c>
      <c r="B120" s="15" t="n">
        <v>8</v>
      </c>
      <c r="C120" s="23" t="s">
        <v>73</v>
      </c>
      <c r="D120" s="12" t="s">
        <v>183</v>
      </c>
    </row>
  </sheetData>
  <dataValidations count="1">
    <dataValidation allowBlank="false" errorStyle="stop" operator="between" showDropDown="false" showErrorMessage="false" showInputMessage="false" sqref="B35"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4"/>
    <col collapsed="false" customWidth="true" hidden="false" outlineLevel="0" max="6" min="2" style="0" width="12"/>
    <col collapsed="false" customWidth="true" hidden="false" outlineLevel="0" max="7" min="7" style="0" width="26"/>
    <col collapsed="false" customWidth="true" hidden="false" outlineLevel="0" max="8" min="8" style="0" width="110"/>
  </cols>
  <sheetData>
    <row r="1" customFormat="false" ht="17.35" hidden="false" customHeight="false" outlineLevel="0" collapsed="false">
      <c r="A1" s="1" t="s">
        <v>184</v>
      </c>
    </row>
    <row r="2" customFormat="false" ht="15" hidden="false" customHeight="false" outlineLevel="0" collapsed="false">
      <c r="A2" s="2" t="s">
        <v>185</v>
      </c>
    </row>
    <row r="4" customFormat="false" ht="15" hidden="false" customHeight="false" outlineLevel="0" collapsed="false">
      <c r="A4" s="5"/>
      <c r="B4" s="6" t="s">
        <v>186</v>
      </c>
      <c r="C4" s="6" t="s">
        <v>187</v>
      </c>
      <c r="D4" s="6" t="s">
        <v>188</v>
      </c>
      <c r="E4" s="6" t="s">
        <v>189</v>
      </c>
      <c r="F4" s="6" t="s">
        <v>190</v>
      </c>
      <c r="G4" s="6" t="s">
        <v>15</v>
      </c>
      <c r="H4" s="6" t="s">
        <v>117</v>
      </c>
    </row>
    <row r="5" customFormat="false" ht="15" hidden="false" customHeight="false" outlineLevel="0" collapsed="false">
      <c r="A5" s="7" t="s">
        <v>191</v>
      </c>
      <c r="B5" s="8"/>
      <c r="C5" s="8"/>
      <c r="D5" s="8"/>
      <c r="E5" s="8"/>
      <c r="F5" s="8"/>
      <c r="G5" s="8"/>
      <c r="H5" s="8"/>
    </row>
    <row r="6" customFormat="false" ht="42" hidden="false" customHeight="true" outlineLevel="0" collapsed="false">
      <c r="A6" s="9" t="s">
        <v>192</v>
      </c>
      <c r="B6" s="20" t="n">
        <v>0.05</v>
      </c>
      <c r="C6" s="20" t="n">
        <v>0.05</v>
      </c>
      <c r="D6" s="20" t="n">
        <v>0.05</v>
      </c>
      <c r="E6" s="20" t="n">
        <v>0.05</v>
      </c>
      <c r="F6" s="20" t="n">
        <v>0.05</v>
      </c>
      <c r="G6" s="23" t="s">
        <v>73</v>
      </c>
      <c r="H6" s="12" t="s">
        <v>193</v>
      </c>
    </row>
    <row r="7" customFormat="false" ht="42" hidden="false" customHeight="true" outlineLevel="0" collapsed="false">
      <c r="A7" s="9" t="s">
        <v>194</v>
      </c>
      <c r="B7" s="18" t="n">
        <f aca="false">(Assumptions!$B$29/Assumptions!$B$7)/Assumptions!$B$26-1</f>
        <v>0.134020618556701</v>
      </c>
      <c r="C7" s="18" t="n">
        <f aca="false">C6</f>
        <v>0.05</v>
      </c>
      <c r="D7" s="18" t="n">
        <f aca="false">D6</f>
        <v>0.05</v>
      </c>
      <c r="E7" s="18" t="n">
        <f aca="false">E6</f>
        <v>0.05</v>
      </c>
      <c r="F7" s="18" t="n">
        <f aca="false">F6</f>
        <v>0.05</v>
      </c>
      <c r="G7" s="14" t="s">
        <v>22</v>
      </c>
      <c r="H7" s="12" t="s">
        <v>195</v>
      </c>
    </row>
    <row r="8" customFormat="false" ht="42" hidden="false" customHeight="true" outlineLevel="0" collapsed="false">
      <c r="A8" s="9" t="s">
        <v>196</v>
      </c>
      <c r="B8" s="20" t="n">
        <v>0.03</v>
      </c>
      <c r="C8" s="20" t="n">
        <v>0.03</v>
      </c>
      <c r="D8" s="20" t="n">
        <v>0.03</v>
      </c>
      <c r="E8" s="20" t="n">
        <v>0.03</v>
      </c>
      <c r="F8" s="20" t="n">
        <v>0.03</v>
      </c>
      <c r="G8" s="23" t="s">
        <v>73</v>
      </c>
      <c r="H8" s="12" t="s">
        <v>197</v>
      </c>
    </row>
    <row r="9" customFormat="false" ht="42" hidden="false" customHeight="true" outlineLevel="0" collapsed="false">
      <c r="A9" s="27" t="s">
        <v>198</v>
      </c>
      <c r="B9" s="28" t="n">
        <f aca="false">CHOOSE(Assumptions!$B$35,B6,B7,B8)</f>
        <v>0.05</v>
      </c>
      <c r="C9" s="28" t="n">
        <f aca="false">CHOOSE(Assumptions!$B$35,C6,C7,C8)</f>
        <v>0.05</v>
      </c>
      <c r="D9" s="28" t="n">
        <f aca="false">CHOOSE(Assumptions!$B$35,D6,D7,D8)</f>
        <v>0.05</v>
      </c>
      <c r="E9" s="28" t="n">
        <f aca="false">CHOOSE(Assumptions!$B$35,E6,E7,E8)</f>
        <v>0.05</v>
      </c>
      <c r="F9" s="28" t="n">
        <f aca="false">CHOOSE(Assumptions!$B$35,F6,F7,F8)</f>
        <v>0.05</v>
      </c>
      <c r="G9" s="14" t="s">
        <v>22</v>
      </c>
      <c r="H9" s="12" t="s">
        <v>199</v>
      </c>
    </row>
    <row r="11" customFormat="false" ht="15" hidden="false" customHeight="false" outlineLevel="0" collapsed="false">
      <c r="A11" s="7" t="s">
        <v>200</v>
      </c>
      <c r="B11" s="8"/>
      <c r="C11" s="8"/>
      <c r="D11" s="8"/>
      <c r="E11" s="8"/>
      <c r="F11" s="8"/>
      <c r="G11" s="8"/>
      <c r="H11" s="8"/>
    </row>
    <row r="12" customFormat="false" ht="42" hidden="false" customHeight="true" outlineLevel="0" collapsed="false">
      <c r="A12" s="9" t="s">
        <v>201</v>
      </c>
      <c r="B12" s="29" t="n">
        <f aca="false">Assumptions!$B$24</f>
        <v>0.223367697594502</v>
      </c>
      <c r="C12" s="29" t="n">
        <f aca="false">Assumptions!$B$24</f>
        <v>0.223367697594502</v>
      </c>
      <c r="D12" s="29" t="n">
        <f aca="false">Assumptions!$B$24</f>
        <v>0.223367697594502</v>
      </c>
      <c r="E12" s="29" t="n">
        <f aca="false">Assumptions!$B$24</f>
        <v>0.223367697594502</v>
      </c>
      <c r="F12" s="29" t="n">
        <f aca="false">Assumptions!$B$24</f>
        <v>0.223367697594502</v>
      </c>
      <c r="G12" s="23" t="s">
        <v>73</v>
      </c>
      <c r="H12" s="12" t="s">
        <v>202</v>
      </c>
    </row>
    <row r="13" customFormat="false" ht="42" hidden="false" customHeight="true" outlineLevel="0" collapsed="false">
      <c r="A13" s="9" t="s">
        <v>203</v>
      </c>
      <c r="B13" s="29" t="n">
        <f aca="false">Assumptions!$B$30</f>
        <v>0.26</v>
      </c>
      <c r="C13" s="18" t="n">
        <f aca="false">$B$13-($B$13-Assumptions!$B$24)*(1-Case_Drivers!$B$17)*1/4</f>
        <v>0.255420962199313</v>
      </c>
      <c r="D13" s="18" t="n">
        <f aca="false">$B$13-($B$13-Assumptions!$B$24)*(1-Case_Drivers!$B$17)*2/4</f>
        <v>0.250841924398625</v>
      </c>
      <c r="E13" s="18" t="n">
        <f aca="false">$B$13-($B$13-Assumptions!$B$24)*(1-Case_Drivers!$B$17)*3/4</f>
        <v>0.246262886597938</v>
      </c>
      <c r="F13" s="18" t="n">
        <f aca="false">$B$13-($B$13-Assumptions!$B$24)*(1-Case_Drivers!$B$17)*4/4</f>
        <v>0.241683848797251</v>
      </c>
      <c r="G13" s="23" t="s">
        <v>73</v>
      </c>
      <c r="H13" s="12" t="s">
        <v>204</v>
      </c>
    </row>
    <row r="14" customFormat="false" ht="42" hidden="false" customHeight="true" outlineLevel="0" collapsed="false">
      <c r="A14" s="9" t="s">
        <v>205</v>
      </c>
      <c r="B14" s="18" t="n">
        <f aca="false">B12-B18</f>
        <v>0.213367697594502</v>
      </c>
      <c r="C14" s="18" t="n">
        <f aca="false">C12-C18</f>
        <v>0.203367697594502</v>
      </c>
      <c r="D14" s="18" t="n">
        <f aca="false">D12-D18</f>
        <v>0.203367697594502</v>
      </c>
      <c r="E14" s="18" t="n">
        <f aca="false">E12-E18</f>
        <v>0.203367697594502</v>
      </c>
      <c r="F14" s="18" t="n">
        <f aca="false">F12-F18</f>
        <v>0.203367697594502</v>
      </c>
      <c r="G14" s="23" t="s">
        <v>73</v>
      </c>
      <c r="H14" s="12" t="s">
        <v>206</v>
      </c>
    </row>
    <row r="15" customFormat="false" ht="42" hidden="false" customHeight="true" outlineLevel="0" collapsed="false">
      <c r="A15" s="27" t="s">
        <v>198</v>
      </c>
      <c r="B15" s="28" t="n">
        <f aca="false">CHOOSE(Assumptions!$B$35,B12,B13,B14)</f>
        <v>0.223367697594502</v>
      </c>
      <c r="C15" s="28" t="n">
        <f aca="false">CHOOSE(Assumptions!$B$35,C12,C13,C14)</f>
        <v>0.223367697594502</v>
      </c>
      <c r="D15" s="28" t="n">
        <f aca="false">CHOOSE(Assumptions!$B$35,D12,D13,D14)</f>
        <v>0.223367697594502</v>
      </c>
      <c r="E15" s="28" t="n">
        <f aca="false">CHOOSE(Assumptions!$B$35,E12,E13,E14)</f>
        <v>0.223367697594502</v>
      </c>
      <c r="F15" s="28" t="n">
        <f aca="false">CHOOSE(Assumptions!$B$35,F12,F13,F14)</f>
        <v>0.223367697594502</v>
      </c>
      <c r="G15" s="14" t="s">
        <v>22</v>
      </c>
      <c r="H15" s="12" t="s">
        <v>199</v>
      </c>
    </row>
    <row r="16" customFormat="false" ht="15" hidden="false" customHeight="false" outlineLevel="0" collapsed="false">
      <c r="A16" s="7" t="s">
        <v>207</v>
      </c>
      <c r="B16" s="8"/>
      <c r="C16" s="8"/>
      <c r="D16" s="8"/>
      <c r="E16" s="8"/>
      <c r="F16" s="8"/>
      <c r="G16" s="8"/>
      <c r="H16" s="8"/>
    </row>
    <row r="17" customFormat="false" ht="42" hidden="false" customHeight="true" outlineLevel="0" collapsed="false">
      <c r="A17" s="9" t="s">
        <v>208</v>
      </c>
      <c r="B17" s="20" t="n">
        <v>0.5</v>
      </c>
      <c r="G17" s="23" t="s">
        <v>73</v>
      </c>
      <c r="H17" s="12" t="s">
        <v>209</v>
      </c>
    </row>
    <row r="18" customFormat="false" ht="42" hidden="false" customHeight="true" outlineLevel="0" collapsed="false">
      <c r="A18" s="9" t="s">
        <v>210</v>
      </c>
      <c r="B18" s="20" t="n">
        <v>0.01</v>
      </c>
      <c r="C18" s="20" t="n">
        <v>0.02</v>
      </c>
      <c r="D18" s="20" t="n">
        <v>0.02</v>
      </c>
      <c r="E18" s="20" t="n">
        <v>0.02</v>
      </c>
      <c r="F18" s="20" t="n">
        <v>0.02</v>
      </c>
      <c r="G18" s="23" t="s">
        <v>73</v>
      </c>
      <c r="H18" s="12"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6"/>
    <col collapsed="false" customWidth="true" hidden="false" outlineLevel="0" max="8" min="2" style="0" width="12"/>
  </cols>
  <sheetData>
    <row r="1" customFormat="false" ht="17.35" hidden="false" customHeight="false" outlineLevel="0" collapsed="false">
      <c r="A1" s="1" t="s">
        <v>212</v>
      </c>
    </row>
    <row r="2" customFormat="false" ht="15" hidden="false" customHeight="false" outlineLevel="0" collapsed="false">
      <c r="A2" s="2" t="s">
        <v>213</v>
      </c>
    </row>
    <row r="4" customFormat="false" ht="15" hidden="false" customHeight="false" outlineLevel="0" collapsed="false">
      <c r="A4" s="5" t="s">
        <v>214</v>
      </c>
      <c r="B4" s="6" t="s">
        <v>215</v>
      </c>
      <c r="C4" s="6" t="s">
        <v>216</v>
      </c>
      <c r="D4" s="6" t="s">
        <v>186</v>
      </c>
      <c r="E4" s="6" t="s">
        <v>187</v>
      </c>
      <c r="F4" s="6" t="s">
        <v>188</v>
      </c>
      <c r="G4" s="6" t="s">
        <v>189</v>
      </c>
      <c r="H4" s="6" t="s">
        <v>190</v>
      </c>
    </row>
    <row r="5" customFormat="false" ht="15" hidden="false" customHeight="false" outlineLevel="0" collapsed="false">
      <c r="A5" s="0" t="s">
        <v>217</v>
      </c>
      <c r="B5" s="30" t="n">
        <f aca="false">Assumptions!$B$19</f>
        <v>299</v>
      </c>
      <c r="C5" s="30" t="n">
        <f aca="false">Assumptions!$B$20</f>
        <v>291</v>
      </c>
      <c r="D5" s="19" t="n">
        <f aca="false">D6*Assumptions!$B$7</f>
        <v>305.55</v>
      </c>
      <c r="E5" s="19" t="n">
        <f aca="false">E6*Assumptions!$B$7</f>
        <v>320.8275</v>
      </c>
      <c r="F5" s="19" t="n">
        <f aca="false">F6*Assumptions!$B$7</f>
        <v>336.868875</v>
      </c>
      <c r="G5" s="19" t="n">
        <f aca="false">G6*Assumptions!$B$7</f>
        <v>353.71231875</v>
      </c>
      <c r="H5" s="19" t="n">
        <f aca="false">H6*Assumptions!$B$7</f>
        <v>371.3979346875</v>
      </c>
    </row>
    <row r="6" customFormat="false" ht="15" hidden="false" customHeight="false" outlineLevel="0" collapsed="false">
      <c r="A6" s="27" t="s">
        <v>218</v>
      </c>
      <c r="B6" s="19" t="n">
        <f aca="false">B5/Assumptions!$B$7</f>
        <v>265.777777777778</v>
      </c>
      <c r="C6" s="19" t="n">
        <f aca="false">C5/Assumptions!$B$7</f>
        <v>258.666666666667</v>
      </c>
      <c r="D6" s="19" t="n">
        <f aca="false">C6*(1+Case_Drivers!$B$9)</f>
        <v>271.6</v>
      </c>
      <c r="E6" s="19" t="n">
        <f aca="false">D6*(1+Case_Drivers!$C$9)</f>
        <v>285.18</v>
      </c>
      <c r="F6" s="19" t="n">
        <f aca="false">E6*(1+Case_Drivers!$D$9)</f>
        <v>299.439</v>
      </c>
      <c r="G6" s="19" t="n">
        <f aca="false">F6*(1+Case_Drivers!$E$9)</f>
        <v>314.41095</v>
      </c>
      <c r="H6" s="19" t="n">
        <f aca="false">G6*(1+Case_Drivers!$F$9)</f>
        <v>330.1314975</v>
      </c>
    </row>
    <row r="7" customFormat="false" ht="15" hidden="false" customHeight="false" outlineLevel="0" collapsed="false">
      <c r="A7" s="0" t="s">
        <v>219</v>
      </c>
      <c r="C7" s="18" t="n">
        <f aca="false">C6/B6-1</f>
        <v>-0.0267558528428092</v>
      </c>
      <c r="D7" s="18" t="n">
        <f aca="false">D6/C6-1</f>
        <v>0.05</v>
      </c>
      <c r="E7" s="18" t="n">
        <f aca="false">E6/D6-1</f>
        <v>0.05</v>
      </c>
      <c r="F7" s="18" t="n">
        <f aca="false">F6/E6-1</f>
        <v>0.05</v>
      </c>
      <c r="G7" s="18" t="n">
        <f aca="false">G6/F6-1</f>
        <v>0.05</v>
      </c>
      <c r="H7" s="18" t="n">
        <f aca="false">H6/G6-1</f>
        <v>0.05</v>
      </c>
    </row>
    <row r="8" customFormat="false" ht="15" hidden="false" customHeight="false" outlineLevel="0" collapsed="false">
      <c r="A8" s="2" t="s">
        <v>220</v>
      </c>
    </row>
    <row r="9" customFormat="false" ht="15" hidden="false" customHeight="false" outlineLevel="0" collapsed="false">
      <c r="A9" s="27" t="s">
        <v>221</v>
      </c>
    </row>
    <row r="10" customFormat="false" ht="15" hidden="false" customHeight="false" outlineLevel="0" collapsed="false">
      <c r="A10" s="9" t="s">
        <v>94</v>
      </c>
      <c r="B10" s="19" t="n">
        <f aca="false">B$6*Assumptions!$B$49</f>
        <v>90.3644444444444</v>
      </c>
      <c r="C10" s="19" t="n">
        <f aca="false">C$6*Assumptions!$B$49</f>
        <v>87.9466666666667</v>
      </c>
      <c r="D10" s="19" t="n">
        <f aca="false">D$6*Assumptions!$B$49</f>
        <v>92.344</v>
      </c>
      <c r="E10" s="19" t="n">
        <f aca="false">E$6*Assumptions!$B$49</f>
        <v>96.9612</v>
      </c>
      <c r="F10" s="19" t="n">
        <f aca="false">F$6*Assumptions!$B$49</f>
        <v>101.80926</v>
      </c>
      <c r="G10" s="19" t="n">
        <f aca="false">G$6*Assumptions!$B$49</f>
        <v>106.899723</v>
      </c>
      <c r="H10" s="19" t="n">
        <f aca="false">H$6*Assumptions!$B$49</f>
        <v>112.24470915</v>
      </c>
    </row>
    <row r="11" customFormat="false" ht="15" hidden="false" customHeight="false" outlineLevel="0" collapsed="false">
      <c r="A11" s="9" t="s">
        <v>96</v>
      </c>
      <c r="B11" s="19" t="n">
        <f aca="false">B$6*Assumptions!$B$50</f>
        <v>56.4777777777778</v>
      </c>
      <c r="C11" s="19" t="n">
        <f aca="false">C$6*Assumptions!$B$50</f>
        <v>54.9666666666667</v>
      </c>
      <c r="D11" s="19" t="n">
        <f aca="false">D$6*Assumptions!$B$50</f>
        <v>57.715</v>
      </c>
      <c r="E11" s="19" t="n">
        <f aca="false">E$6*Assumptions!$B$50</f>
        <v>60.60075</v>
      </c>
      <c r="F11" s="19" t="n">
        <f aca="false">F$6*Assumptions!$B$50</f>
        <v>63.6307875</v>
      </c>
      <c r="G11" s="19" t="n">
        <f aca="false">G$6*Assumptions!$B$50</f>
        <v>66.812326875</v>
      </c>
      <c r="H11" s="19" t="n">
        <f aca="false">H$6*Assumptions!$B$50</f>
        <v>70.15294321875</v>
      </c>
    </row>
    <row r="12" customFormat="false" ht="15" hidden="false" customHeight="false" outlineLevel="0" collapsed="false">
      <c r="A12" s="9" t="s">
        <v>97</v>
      </c>
      <c r="B12" s="19" t="n">
        <f aca="false">B$6*Assumptions!$B$51</f>
        <v>45.1822222222222</v>
      </c>
      <c r="C12" s="19" t="n">
        <f aca="false">C$6*Assumptions!$B$51</f>
        <v>43.9733333333333</v>
      </c>
      <c r="D12" s="19" t="n">
        <f aca="false">D$6*Assumptions!$B$51</f>
        <v>46.172</v>
      </c>
      <c r="E12" s="19" t="n">
        <f aca="false">E$6*Assumptions!$B$51</f>
        <v>48.4806</v>
      </c>
      <c r="F12" s="19" t="n">
        <f aca="false">F$6*Assumptions!$B$51</f>
        <v>50.90463</v>
      </c>
      <c r="G12" s="19" t="n">
        <f aca="false">G$6*Assumptions!$B$51</f>
        <v>53.4498615</v>
      </c>
      <c r="H12" s="19" t="n">
        <f aca="false">H$6*Assumptions!$B$51</f>
        <v>56.122354575</v>
      </c>
    </row>
    <row r="13" customFormat="false" ht="15" hidden="false" customHeight="false" outlineLevel="0" collapsed="false">
      <c r="A13" s="9" t="s">
        <v>98</v>
      </c>
      <c r="B13" s="19" t="n">
        <f aca="false">B$6*Assumptions!$B$52</f>
        <v>33.8866666666667</v>
      </c>
      <c r="C13" s="19" t="n">
        <f aca="false">C$6*Assumptions!$B$52</f>
        <v>32.98</v>
      </c>
      <c r="D13" s="19" t="n">
        <f aca="false">D$6*Assumptions!$B$52</f>
        <v>34.629</v>
      </c>
      <c r="E13" s="19" t="n">
        <f aca="false">E$6*Assumptions!$B$52</f>
        <v>36.36045</v>
      </c>
      <c r="F13" s="19" t="n">
        <f aca="false">F$6*Assumptions!$B$52</f>
        <v>38.1784725</v>
      </c>
      <c r="G13" s="19" t="n">
        <f aca="false">G$6*Assumptions!$B$52</f>
        <v>40.087396125</v>
      </c>
      <c r="H13" s="19" t="n">
        <f aca="false">H$6*Assumptions!$B$52</f>
        <v>42.09176593125</v>
      </c>
    </row>
    <row r="14" customFormat="false" ht="15" hidden="false" customHeight="false" outlineLevel="0" collapsed="false">
      <c r="A14" s="9" t="s">
        <v>99</v>
      </c>
      <c r="B14" s="19" t="n">
        <f aca="false">B$6*Assumptions!$B$53</f>
        <v>21.2622222222222</v>
      </c>
      <c r="C14" s="19" t="n">
        <f aca="false">C$6*Assumptions!$B$53</f>
        <v>20.6933333333333</v>
      </c>
      <c r="D14" s="19" t="n">
        <f aca="false">D$6*Assumptions!$B$53</f>
        <v>21.728</v>
      </c>
      <c r="E14" s="19" t="n">
        <f aca="false">E$6*Assumptions!$B$53</f>
        <v>22.8144</v>
      </c>
      <c r="F14" s="19" t="n">
        <f aca="false">F$6*Assumptions!$B$53</f>
        <v>23.95512</v>
      </c>
      <c r="G14" s="19" t="n">
        <f aca="false">G$6*Assumptions!$B$53</f>
        <v>25.152876</v>
      </c>
      <c r="H14" s="19" t="n">
        <f aca="false">H$6*Assumptions!$B$53</f>
        <v>26.4105198</v>
      </c>
    </row>
    <row r="15" customFormat="false" ht="15" hidden="false" customHeight="false" outlineLevel="0" collapsed="false">
      <c r="A15" s="9" t="s">
        <v>101</v>
      </c>
      <c r="B15" s="19" t="n">
        <f aca="false">B$6*Assumptions!$B$54</f>
        <v>13.2888888888889</v>
      </c>
      <c r="C15" s="19" t="n">
        <f aca="false">C$6*Assumptions!$B$54</f>
        <v>12.9333333333333</v>
      </c>
      <c r="D15" s="19" t="n">
        <f aca="false">D$6*Assumptions!$B$54</f>
        <v>13.58</v>
      </c>
      <c r="E15" s="19" t="n">
        <f aca="false">E$6*Assumptions!$B$54</f>
        <v>14.259</v>
      </c>
      <c r="F15" s="19" t="n">
        <f aca="false">F$6*Assumptions!$B$54</f>
        <v>14.97195</v>
      </c>
      <c r="G15" s="19" t="n">
        <f aca="false">G$6*Assumptions!$B$54</f>
        <v>15.7205475</v>
      </c>
      <c r="H15" s="19" t="n">
        <f aca="false">H$6*Assumptions!$B$54</f>
        <v>16.506574875</v>
      </c>
    </row>
    <row r="16" customFormat="false" ht="15" hidden="false" customHeight="false" outlineLevel="0" collapsed="false">
      <c r="A16" s="9" t="s">
        <v>102</v>
      </c>
      <c r="B16" s="19" t="n">
        <f aca="false">B$6*Assumptions!$B$55</f>
        <v>5.31555555555556</v>
      </c>
      <c r="C16" s="19" t="n">
        <f aca="false">C$6*Assumptions!$B$55</f>
        <v>5.17333333333333</v>
      </c>
      <c r="D16" s="19" t="n">
        <f aca="false">D$6*Assumptions!$B$55</f>
        <v>5.432</v>
      </c>
      <c r="E16" s="19" t="n">
        <f aca="false">E$6*Assumptions!$B$55</f>
        <v>5.7036</v>
      </c>
      <c r="F16" s="19" t="n">
        <f aca="false">F$6*Assumptions!$B$55</f>
        <v>5.98878</v>
      </c>
      <c r="G16" s="19" t="n">
        <f aca="false">G$6*Assumptions!$B$55</f>
        <v>6.288219</v>
      </c>
      <c r="H16" s="19" t="n">
        <f aca="false">H$6*Assumptions!$B$55</f>
        <v>6.60262995</v>
      </c>
    </row>
    <row r="17" customFormat="false" ht="15" hidden="false" customHeight="false" outlineLevel="0" collapsed="false">
      <c r="A17" s="2" t="s">
        <v>222</v>
      </c>
      <c r="B17" s="13" t="n">
        <f aca="false">SUM(B10:B16)-B6</f>
        <v>0</v>
      </c>
      <c r="C17" s="13" t="n">
        <f aca="false">SUM(C10:C16)-C6</f>
        <v>0</v>
      </c>
      <c r="D17" s="13" t="n">
        <f aca="false">SUM(D10:D16)-D6</f>
        <v>0</v>
      </c>
      <c r="E17" s="13" t="n">
        <f aca="false">SUM(E10:E16)-E6</f>
        <v>0</v>
      </c>
      <c r="F17" s="13" t="n">
        <f aca="false">SUM(F10:F16)-F6</f>
        <v>0</v>
      </c>
      <c r="G17" s="13" t="n">
        <f aca="false">SUM(G10:G16)-G6</f>
        <v>0</v>
      </c>
      <c r="H17" s="13" t="n">
        <f aca="false">SUM(H10:H16)-H6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6"/>
    <col collapsed="false" customWidth="true" hidden="false" outlineLevel="0" max="8" min="2" style="0" width="12"/>
  </cols>
  <sheetData>
    <row r="1" customFormat="false" ht="17.35" hidden="false" customHeight="false" outlineLevel="0" collapsed="false">
      <c r="A1" s="1" t="s">
        <v>223</v>
      </c>
    </row>
    <row r="2" customFormat="false" ht="15" hidden="false" customHeight="false" outlineLevel="0" collapsed="false">
      <c r="A2" s="2" t="s">
        <v>224</v>
      </c>
    </row>
    <row r="4" customFormat="false" ht="15" hidden="false" customHeight="false" outlineLevel="0" collapsed="false">
      <c r="A4" s="5" t="s">
        <v>225</v>
      </c>
      <c r="B4" s="6" t="s">
        <v>215</v>
      </c>
      <c r="C4" s="6" t="s">
        <v>216</v>
      </c>
      <c r="D4" s="6" t="s">
        <v>186</v>
      </c>
      <c r="E4" s="6" t="s">
        <v>187</v>
      </c>
      <c r="F4" s="6" t="s">
        <v>188</v>
      </c>
      <c r="G4" s="6" t="s">
        <v>189</v>
      </c>
      <c r="H4" s="6" t="s">
        <v>190</v>
      </c>
    </row>
    <row r="5" customFormat="false" ht="15" hidden="false" customHeight="false" outlineLevel="0" collapsed="false">
      <c r="A5" s="9" t="s">
        <v>226</v>
      </c>
      <c r="B5" s="30" t="n">
        <f aca="false">Revenue_Build!B6</f>
        <v>265.777777777778</v>
      </c>
      <c r="C5" s="30" t="n">
        <f aca="false">Revenue_Build!C6</f>
        <v>258.666666666667</v>
      </c>
      <c r="D5" s="30" t="n">
        <f aca="false">Revenue_Build!D6</f>
        <v>271.6</v>
      </c>
      <c r="E5" s="30" t="n">
        <f aca="false">Revenue_Build!E6</f>
        <v>285.18</v>
      </c>
      <c r="F5" s="30" t="n">
        <f aca="false">Revenue_Build!F6</f>
        <v>299.439</v>
      </c>
      <c r="G5" s="30" t="n">
        <f aca="false">Revenue_Build!G6</f>
        <v>314.41095</v>
      </c>
      <c r="H5" s="30" t="n">
        <f aca="false">Revenue_Build!H6</f>
        <v>330.1314975</v>
      </c>
    </row>
    <row r="6" customFormat="false" ht="15" hidden="false" customHeight="false" outlineLevel="0" collapsed="false">
      <c r="A6" s="9" t="s">
        <v>227</v>
      </c>
      <c r="B6" s="19" t="n">
        <f aca="false">B5*(1-Assumptions!$B$99)</f>
        <v>146.177777777778</v>
      </c>
      <c r="C6" s="19" t="n">
        <f aca="false">C5*(1-Assumptions!$B$99)</f>
        <v>142.266666666667</v>
      </c>
      <c r="D6" s="19" t="n">
        <f aca="false">D5*(1-Assumptions!$B$99)</f>
        <v>149.38</v>
      </c>
      <c r="E6" s="19" t="n">
        <f aca="false">E5*(1-Assumptions!$B$99)</f>
        <v>156.849</v>
      </c>
      <c r="F6" s="19" t="n">
        <f aca="false">F5*(1-Assumptions!$B$99)</f>
        <v>164.69145</v>
      </c>
      <c r="G6" s="19" t="n">
        <f aca="false">G5*(1-Assumptions!$B$99)</f>
        <v>172.9260225</v>
      </c>
      <c r="H6" s="19" t="n">
        <f aca="false">H5*(1-Assumptions!$B$99)</f>
        <v>181.572323625</v>
      </c>
    </row>
    <row r="8" customFormat="false" ht="15" hidden="false" customHeight="false" outlineLevel="0" collapsed="false">
      <c r="A8" s="9" t="s">
        <v>228</v>
      </c>
      <c r="B8" s="19" t="n">
        <f aca="false">B5*Assumptions!$B$107/365</f>
        <v>32.7671232876712</v>
      </c>
      <c r="C8" s="19" t="n">
        <f aca="false">C5*Assumptions!$B$107/365</f>
        <v>31.8904109589041</v>
      </c>
      <c r="D8" s="19" t="n">
        <f aca="false">D5*Assumptions!$B$107/365</f>
        <v>33.4849315068493</v>
      </c>
      <c r="E8" s="19" t="n">
        <f aca="false">E5*Assumptions!$B$107/365</f>
        <v>35.1591780821918</v>
      </c>
      <c r="F8" s="19" t="n">
        <f aca="false">F5*Assumptions!$B$107/365</f>
        <v>36.9171369863014</v>
      </c>
      <c r="G8" s="19" t="n">
        <f aca="false">G5*Assumptions!$B$107/365</f>
        <v>38.7629938356165</v>
      </c>
      <c r="H8" s="19" t="n">
        <f aca="false">H5*Assumptions!$B$107/365</f>
        <v>40.7011435273973</v>
      </c>
    </row>
    <row r="9" customFormat="false" ht="15" hidden="false" customHeight="false" outlineLevel="0" collapsed="false">
      <c r="A9" s="9" t="s">
        <v>229</v>
      </c>
      <c r="B9" s="19" t="n">
        <f aca="false">B6*Assumptions!$B$108/365</f>
        <v>24.0292237442922</v>
      </c>
      <c r="C9" s="19" t="n">
        <f aca="false">C6*Assumptions!$B$108/365</f>
        <v>23.386301369863</v>
      </c>
      <c r="D9" s="19" t="n">
        <f aca="false">D6*Assumptions!$B$108/365</f>
        <v>24.5556164383562</v>
      </c>
      <c r="E9" s="19" t="n">
        <f aca="false">E6*Assumptions!$B$108/365</f>
        <v>25.783397260274</v>
      </c>
      <c r="F9" s="19" t="n">
        <f aca="false">F6*Assumptions!$B$108/365</f>
        <v>27.0725671232877</v>
      </c>
      <c r="G9" s="19" t="n">
        <f aca="false">G6*Assumptions!$B$108/365</f>
        <v>28.4261954794521</v>
      </c>
      <c r="H9" s="19" t="n">
        <f aca="false">H6*Assumptions!$B$108/365</f>
        <v>29.8475052534247</v>
      </c>
    </row>
    <row r="10" customFormat="false" ht="15" hidden="false" customHeight="false" outlineLevel="0" collapsed="false">
      <c r="A10" s="9" t="s">
        <v>230</v>
      </c>
      <c r="B10" s="19" t="n">
        <f aca="false">-B6*Assumptions!$B$109/365</f>
        <v>-18.0219178082192</v>
      </c>
      <c r="C10" s="19" t="n">
        <f aca="false">-C6*Assumptions!$B$109/365</f>
        <v>-17.5397260273973</v>
      </c>
      <c r="D10" s="19" t="n">
        <f aca="false">-D6*Assumptions!$B$109/365</f>
        <v>-18.4167123287671</v>
      </c>
      <c r="E10" s="19" t="n">
        <f aca="false">-E6*Assumptions!$B$109/365</f>
        <v>-19.3375479452055</v>
      </c>
      <c r="F10" s="19" t="n">
        <f aca="false">-F6*Assumptions!$B$109/365</f>
        <v>-20.3044253424658</v>
      </c>
      <c r="G10" s="19" t="n">
        <f aca="false">-G6*Assumptions!$B$109/365</f>
        <v>-21.319646609589</v>
      </c>
      <c r="H10" s="19" t="n">
        <f aca="false">-H6*Assumptions!$B$109/365</f>
        <v>-22.3856289400685</v>
      </c>
    </row>
    <row r="12" customFormat="false" ht="15" hidden="false" customHeight="false" outlineLevel="0" collapsed="false">
      <c r="A12" s="27" t="s">
        <v>231</v>
      </c>
      <c r="B12" s="31" t="n">
        <f aca="false">B8+B9+B10</f>
        <v>38.7744292237443</v>
      </c>
      <c r="C12" s="31" t="n">
        <f aca="false">C8+C9+C10</f>
        <v>37.7369863013699</v>
      </c>
      <c r="D12" s="31" t="n">
        <f aca="false">D8+D9+D10</f>
        <v>39.6238356164384</v>
      </c>
      <c r="E12" s="31" t="n">
        <f aca="false">E8+E9+E10</f>
        <v>41.6050273972603</v>
      </c>
      <c r="F12" s="31" t="n">
        <f aca="false">F8+F9+F10</f>
        <v>43.6852787671233</v>
      </c>
      <c r="G12" s="31" t="n">
        <f aca="false">G8+G9+G10</f>
        <v>45.8695427054795</v>
      </c>
      <c r="H12" s="31" t="n">
        <f aca="false">H8+H9+H10</f>
        <v>48.1630198407534</v>
      </c>
    </row>
    <row r="13" customFormat="false" ht="15" hidden="false" customHeight="false" outlineLevel="0" collapsed="false">
      <c r="A13" s="9" t="s">
        <v>232</v>
      </c>
      <c r="B13" s="18" t="n">
        <f aca="false">B12/B5</f>
        <v>0.145890410958904</v>
      </c>
      <c r="C13" s="18" t="n">
        <f aca="false">C12/C5</f>
        <v>0.145890410958904</v>
      </c>
      <c r="D13" s="18" t="n">
        <f aca="false">D12/D5</f>
        <v>0.145890410958904</v>
      </c>
      <c r="E13" s="18" t="n">
        <f aca="false">E12/E5</f>
        <v>0.145890410958904</v>
      </c>
      <c r="F13" s="18" t="n">
        <f aca="false">F12/F5</f>
        <v>0.145890410958904</v>
      </c>
      <c r="G13" s="18" t="n">
        <f aca="false">G12/G5</f>
        <v>0.145890410958904</v>
      </c>
      <c r="H13" s="18" t="n">
        <f aca="false">H12/H5</f>
        <v>0.145890410958904</v>
      </c>
    </row>
    <row r="14" customFormat="false" ht="15" hidden="false" customHeight="false" outlineLevel="0" collapsed="false">
      <c r="A14" s="27" t="s">
        <v>233</v>
      </c>
      <c r="C14" s="31" t="n">
        <f aca="false">C12-B12</f>
        <v>-1.03744292237443</v>
      </c>
      <c r="D14" s="31" t="n">
        <f aca="false">D12-C12</f>
        <v>1.88684931506851</v>
      </c>
      <c r="E14" s="31" t="n">
        <f aca="false">E12-D12</f>
        <v>1.98119178082192</v>
      </c>
      <c r="F14" s="31" t="n">
        <f aca="false">F12-E12</f>
        <v>2.08025136986301</v>
      </c>
      <c r="G14" s="31" t="n">
        <f aca="false">G12-F12</f>
        <v>2.18426393835618</v>
      </c>
      <c r="H14" s="31" t="n">
        <f aca="false">H12-G12</f>
        <v>2.29347713527396</v>
      </c>
    </row>
    <row r="16" customFormat="false" ht="15" hidden="false" customHeight="false" outlineLevel="0" collapsed="false">
      <c r="A16" s="9" t="s">
        <v>234</v>
      </c>
      <c r="B16" s="24" t="n">
        <f aca="false">(Assumptions!$B$107+(1-Assumptions!$B$99)*(Assumptions!$B$108-Assumptions!$B$109))/365</f>
        <v>0.145890410958904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0"/>
    <col collapsed="false" customWidth="true" hidden="false" outlineLevel="0" max="8" min="2" style="0" width="12"/>
  </cols>
  <sheetData>
    <row r="1" customFormat="false" ht="17.35" hidden="false" customHeight="false" outlineLevel="0" collapsed="false">
      <c r="A1" s="1" t="s">
        <v>235</v>
      </c>
    </row>
    <row r="2" customFormat="false" ht="15" hidden="false" customHeight="false" outlineLevel="0" collapsed="false">
      <c r="A2" s="2" t="s">
        <v>236</v>
      </c>
    </row>
    <row r="4" customFormat="false" ht="15" hidden="false" customHeight="false" outlineLevel="0" collapsed="false">
      <c r="A4" s="5" t="s">
        <v>225</v>
      </c>
      <c r="B4" s="6" t="s">
        <v>215</v>
      </c>
      <c r="C4" s="6" t="s">
        <v>216</v>
      </c>
      <c r="D4" s="6" t="s">
        <v>186</v>
      </c>
      <c r="E4" s="6" t="s">
        <v>187</v>
      </c>
      <c r="F4" s="6" t="s">
        <v>188</v>
      </c>
      <c r="G4" s="6" t="s">
        <v>189</v>
      </c>
      <c r="H4" s="6" t="s">
        <v>190</v>
      </c>
    </row>
    <row r="5" customFormat="false" ht="15" hidden="false" customHeight="false" outlineLevel="0" collapsed="false">
      <c r="A5" s="9" t="s">
        <v>226</v>
      </c>
      <c r="B5" s="30" t="n">
        <f aca="false">Revenue_Build!B6</f>
        <v>265.777777777778</v>
      </c>
      <c r="C5" s="30" t="n">
        <f aca="false">Revenue_Build!C6</f>
        <v>258.666666666667</v>
      </c>
      <c r="D5" s="30" t="n">
        <f aca="false">Revenue_Build!D6</f>
        <v>271.6</v>
      </c>
      <c r="E5" s="30" t="n">
        <f aca="false">Revenue_Build!E6</f>
        <v>285.18</v>
      </c>
      <c r="F5" s="30" t="n">
        <f aca="false">Revenue_Build!F6</f>
        <v>299.439</v>
      </c>
      <c r="G5" s="30" t="n">
        <f aca="false">Revenue_Build!G6</f>
        <v>314.41095</v>
      </c>
      <c r="H5" s="30" t="n">
        <f aca="false">Revenue_Build!H6</f>
        <v>330.1314975</v>
      </c>
    </row>
    <row r="7" customFormat="false" ht="15" hidden="false" customHeight="false" outlineLevel="0" collapsed="false">
      <c r="A7" s="9" t="s">
        <v>237</v>
      </c>
      <c r="D7" s="19" t="n">
        <f aca="false">D5*Assumptions!$B$101</f>
        <v>9.506</v>
      </c>
      <c r="E7" s="19" t="n">
        <f aca="false">E5*Assumptions!$B$102</f>
        <v>9.9813</v>
      </c>
      <c r="F7" s="19" t="n">
        <f aca="false">F5*Assumptions!$B$103</f>
        <v>8.98317</v>
      </c>
      <c r="G7" s="19" t="n">
        <f aca="false">G5*Assumptions!$B$104</f>
        <v>9.4323285</v>
      </c>
      <c r="H7" s="19" t="n">
        <f aca="false">H5*Assumptions!$B$105</f>
        <v>9.903944925</v>
      </c>
    </row>
    <row r="8" customFormat="false" ht="15" hidden="false" customHeight="false" outlineLevel="0" collapsed="false">
      <c r="A8" s="9" t="s">
        <v>238</v>
      </c>
      <c r="D8" s="18" t="n">
        <f aca="false">D7/D5</f>
        <v>0.035</v>
      </c>
      <c r="E8" s="18" t="n">
        <f aca="false">E7/E5</f>
        <v>0.035</v>
      </c>
      <c r="F8" s="18" t="n">
        <f aca="false">F7/F5</f>
        <v>0.03</v>
      </c>
      <c r="G8" s="18" t="n">
        <f aca="false">G7/G5</f>
        <v>0.03</v>
      </c>
      <c r="H8" s="18" t="n">
        <f aca="false">H7/H5</f>
        <v>0.03</v>
      </c>
    </row>
    <row r="10" customFormat="false" ht="15" hidden="false" customHeight="false" outlineLevel="0" collapsed="false">
      <c r="A10" s="9" t="s">
        <v>239</v>
      </c>
      <c r="D10" s="19" t="n">
        <f aca="false">D5*Assumptions!$B$100</f>
        <v>6.79</v>
      </c>
      <c r="E10" s="19" t="n">
        <f aca="false">E5*Assumptions!$B$100</f>
        <v>7.1295</v>
      </c>
      <c r="F10" s="19" t="n">
        <f aca="false">F5*Assumptions!$B$100</f>
        <v>7.485975</v>
      </c>
      <c r="G10" s="19" t="n">
        <f aca="false">G5*Assumptions!$B$100</f>
        <v>7.86027375</v>
      </c>
      <c r="H10" s="19" t="n">
        <f aca="false">H5*Assumptions!$B$100</f>
        <v>8.2532874375</v>
      </c>
    </row>
    <row r="11" customFormat="false" ht="15" hidden="false" customHeight="false" outlineLevel="0" collapsed="false">
      <c r="A11" s="9" t="s">
        <v>240</v>
      </c>
      <c r="D11" s="18" t="n">
        <f aca="false">D10/D5</f>
        <v>0.025</v>
      </c>
      <c r="E11" s="18" t="n">
        <f aca="false">E10/E5</f>
        <v>0.025</v>
      </c>
      <c r="F11" s="18" t="n">
        <f aca="false">F10/F5</f>
        <v>0.025</v>
      </c>
      <c r="G11" s="18" t="n">
        <f aca="false">G10/G5</f>
        <v>0.025</v>
      </c>
      <c r="H11" s="18" t="n">
        <f aca="false">H10/H5</f>
        <v>0.025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62"/>
    <col collapsed="false" customWidth="true" hidden="false" outlineLevel="0" max="8" min="2" style="0" width="12"/>
  </cols>
  <sheetData>
    <row r="1" customFormat="false" ht="17.35" hidden="false" customHeight="false" outlineLevel="0" collapsed="false">
      <c r="A1" s="1" t="s">
        <v>241</v>
      </c>
    </row>
    <row r="2" customFormat="false" ht="15" hidden="false" customHeight="false" outlineLevel="0" collapsed="false">
      <c r="A2" s="2" t="str">
        <f aca="false">"Active case: "&amp;Assumptions!$B$36&amp;".  FY2024-FY2025 EBITDA are REPORTED; FY2026E+ are ANALYST CALCULATIONS on ILLUSTRATIVE case drivers."</f>
        <v>Active case: Base.  FY2024-FY2025 EBITDA are REPORTED; FY2026E+ are ANALYST CALCULATIONS on ILLUSTRATIVE case drivers.</v>
      </c>
    </row>
    <row r="4" customFormat="false" ht="15" hidden="false" customHeight="false" outlineLevel="0" collapsed="false">
      <c r="A4" s="5" t="s">
        <v>225</v>
      </c>
      <c r="B4" s="6" t="s">
        <v>215</v>
      </c>
      <c r="C4" s="6" t="s">
        <v>216</v>
      </c>
      <c r="D4" s="6" t="s">
        <v>186</v>
      </c>
      <c r="E4" s="6" t="s">
        <v>187</v>
      </c>
      <c r="F4" s="6" t="s">
        <v>188</v>
      </c>
      <c r="G4" s="6" t="s">
        <v>189</v>
      </c>
      <c r="H4" s="6" t="s">
        <v>190</v>
      </c>
    </row>
    <row r="5" customFormat="false" ht="15" hidden="false" customHeight="false" outlineLevel="0" collapsed="false">
      <c r="A5" s="27" t="s">
        <v>226</v>
      </c>
      <c r="B5" s="32" t="n">
        <f aca="false">Revenue_Build!B6</f>
        <v>265.777777777778</v>
      </c>
      <c r="C5" s="32" t="n">
        <f aca="false">Revenue_Build!C6</f>
        <v>258.666666666667</v>
      </c>
      <c r="D5" s="32" t="n">
        <f aca="false">Revenue_Build!D6</f>
        <v>271.6</v>
      </c>
      <c r="E5" s="32" t="n">
        <f aca="false">Revenue_Build!E6</f>
        <v>285.18</v>
      </c>
      <c r="F5" s="32" t="n">
        <f aca="false">Revenue_Build!F6</f>
        <v>299.439</v>
      </c>
      <c r="G5" s="32" t="n">
        <f aca="false">Revenue_Build!G6</f>
        <v>314.41095</v>
      </c>
      <c r="H5" s="32" t="n">
        <f aca="false">Revenue_Build!H6</f>
        <v>330.1314975</v>
      </c>
    </row>
    <row r="6" customFormat="false" ht="15" hidden="false" customHeight="false" outlineLevel="0" collapsed="false">
      <c r="A6" s="9" t="s">
        <v>242</v>
      </c>
      <c r="C6" s="18" t="n">
        <f aca="false">C5/B5-1</f>
        <v>-0.0267558528428092</v>
      </c>
      <c r="D6" s="18" t="n">
        <f aca="false">D5/C5-1</f>
        <v>0.05</v>
      </c>
      <c r="E6" s="18" t="n">
        <f aca="false">E5/D5-1</f>
        <v>0.05</v>
      </c>
      <c r="F6" s="18" t="n">
        <f aca="false">F5/E5-1</f>
        <v>0.05</v>
      </c>
      <c r="G6" s="18" t="n">
        <f aca="false">G5/F5-1</f>
        <v>0.05</v>
      </c>
      <c r="H6" s="18" t="n">
        <f aca="false">H5/G5-1</f>
        <v>0.05</v>
      </c>
    </row>
    <row r="8" customFormat="false" ht="15" hidden="false" customHeight="false" outlineLevel="0" collapsed="false">
      <c r="A8" s="9" t="s">
        <v>243</v>
      </c>
      <c r="D8" s="19" t="n">
        <f aca="false">D5*Assumptions!$B$99</f>
        <v>122.22</v>
      </c>
      <c r="E8" s="19" t="n">
        <f aca="false">E5*Assumptions!$B$99</f>
        <v>128.331</v>
      </c>
      <c r="F8" s="19" t="n">
        <f aca="false">F5*Assumptions!$B$99</f>
        <v>134.74755</v>
      </c>
      <c r="G8" s="19" t="n">
        <f aca="false">G5*Assumptions!$B$99</f>
        <v>141.4849275</v>
      </c>
      <c r="H8" s="19" t="n">
        <f aca="false">H5*Assumptions!$B$99</f>
        <v>148.559173875</v>
      </c>
    </row>
    <row r="10" customFormat="false" ht="15" hidden="false" customHeight="false" outlineLevel="0" collapsed="false">
      <c r="A10" s="27" t="s">
        <v>244</v>
      </c>
      <c r="B10" s="32" t="n">
        <f aca="false">Assumptions!$B$27</f>
        <v>61.3333333333333</v>
      </c>
      <c r="C10" s="32" t="n">
        <f aca="false">Assumptions!$B$28</f>
        <v>57.7777777777778</v>
      </c>
      <c r="D10" s="31" t="n">
        <f aca="false">D5*Case_Drivers!$B$15</f>
        <v>60.6666666666667</v>
      </c>
      <c r="E10" s="31" t="n">
        <f aca="false">E5*Case_Drivers!$C$15</f>
        <v>63.7</v>
      </c>
      <c r="F10" s="31" t="n">
        <f aca="false">F5*Case_Drivers!$D$15</f>
        <v>66.885</v>
      </c>
      <c r="G10" s="31" t="n">
        <f aca="false">G5*Case_Drivers!$E$15</f>
        <v>70.22925</v>
      </c>
      <c r="H10" s="31" t="n">
        <f aca="false">H5*Case_Drivers!$F$15</f>
        <v>73.7407125</v>
      </c>
    </row>
    <row r="11" customFormat="false" ht="15" hidden="false" customHeight="false" outlineLevel="0" collapsed="false">
      <c r="A11" s="9" t="s">
        <v>245</v>
      </c>
      <c r="B11" s="18" t="n">
        <f aca="false">B10/B5</f>
        <v>0.230769230769231</v>
      </c>
      <c r="C11" s="18" t="n">
        <f aca="false">C10/C5</f>
        <v>0.223367697594502</v>
      </c>
      <c r="D11" s="18" t="n">
        <f aca="false">D10/D5</f>
        <v>0.223367697594502</v>
      </c>
      <c r="E11" s="18" t="n">
        <f aca="false">E10/E5</f>
        <v>0.223367697594502</v>
      </c>
      <c r="F11" s="18" t="n">
        <f aca="false">F10/F5</f>
        <v>0.223367697594502</v>
      </c>
      <c r="G11" s="18" t="n">
        <f aca="false">G10/G5</f>
        <v>0.223367697594502</v>
      </c>
      <c r="H11" s="18" t="n">
        <f aca="false">H10/H5</f>
        <v>0.223367697594502</v>
      </c>
    </row>
    <row r="13" customFormat="false" ht="15" hidden="false" customHeight="false" outlineLevel="0" collapsed="false">
      <c r="A13" s="9" t="s">
        <v>246</v>
      </c>
    </row>
    <row r="14" customFormat="false" ht="15" hidden="false" customHeight="false" outlineLevel="0" collapsed="false">
      <c r="A14" s="9" t="s">
        <v>247</v>
      </c>
      <c r="D14" s="19" t="n">
        <f aca="false">-D5*Assumptions!$B$110</f>
        <v>-8.148</v>
      </c>
      <c r="E14" s="19" t="n">
        <f aca="false">-E5*Assumptions!$B$111</f>
        <v>-4.2777</v>
      </c>
      <c r="F14" s="19" t="n">
        <f aca="false">-F5*Assumptions!$B$112</f>
        <v>-0</v>
      </c>
      <c r="G14" s="19" t="n">
        <f aca="false">-G5*Assumptions!$B$113</f>
        <v>-0</v>
      </c>
      <c r="H14" s="19" t="n">
        <f aca="false">-H5*Assumptions!$B$114</f>
        <v>-0</v>
      </c>
    </row>
    <row r="15" customFormat="false" ht="15" hidden="false" customHeight="false" outlineLevel="0" collapsed="false">
      <c r="A15" s="9" t="s">
        <v>248</v>
      </c>
      <c r="D15" s="19" t="n">
        <f aca="false">-D5*Assumptions!$B$115</f>
        <v>-2.716</v>
      </c>
      <c r="E15" s="19" t="n">
        <f aca="false">-E5*Assumptions!$B$116</f>
        <v>-2.8518</v>
      </c>
      <c r="F15" s="19" t="n">
        <f aca="false">-F5*Assumptions!$B$117</f>
        <v>-0</v>
      </c>
      <c r="G15" s="19" t="n">
        <f aca="false">-G5*Assumptions!$B$118</f>
        <v>-0</v>
      </c>
      <c r="H15" s="19" t="n">
        <f aca="false">-H5*Assumptions!$B$119</f>
        <v>-0</v>
      </c>
    </row>
    <row r="16" customFormat="false" ht="15" hidden="false" customHeight="false" outlineLevel="0" collapsed="false">
      <c r="A16" s="9" t="s">
        <v>249</v>
      </c>
      <c r="D16" s="19" t="n">
        <f aca="false">-(D8-D10+D14+D15)</f>
        <v>-50.6893333333333</v>
      </c>
      <c r="E16" s="19" t="n">
        <f aca="false">-(E8-E10+E14+E15)</f>
        <v>-57.5015</v>
      </c>
      <c r="F16" s="19" t="n">
        <f aca="false">-(F8-F10+F14+F15)</f>
        <v>-67.86255</v>
      </c>
      <c r="G16" s="19" t="n">
        <f aca="false">-(G8-G10+G14+G15)</f>
        <v>-71.2556775</v>
      </c>
      <c r="H16" s="19" t="n">
        <f aca="false">-(H8-H10+H14+H15)</f>
        <v>-74.818461375</v>
      </c>
    </row>
    <row r="17" customFormat="false" ht="15" hidden="false" customHeight="false" outlineLevel="0" collapsed="false">
      <c r="A17" s="9" t="s">
        <v>250</v>
      </c>
      <c r="D17" s="13" t="n">
        <f aca="false">D8+D14+D15+D16-D10</f>
        <v>0</v>
      </c>
      <c r="E17" s="13" t="n">
        <f aca="false">E8+E14+E15+E16-E10</f>
        <v>0</v>
      </c>
      <c r="F17" s="13" t="n">
        <f aca="false">F8+F14+F15+F16-F10</f>
        <v>0</v>
      </c>
      <c r="G17" s="13" t="n">
        <f aca="false">G8+G14+G15+G16-G10</f>
        <v>0</v>
      </c>
      <c r="H17" s="13" t="n">
        <f aca="false">H8+H14+H15+H16-H10</f>
        <v>0</v>
      </c>
    </row>
    <row r="19" customFormat="false" ht="15" hidden="false" customHeight="false" outlineLevel="0" collapsed="false">
      <c r="A19" s="9" t="s">
        <v>239</v>
      </c>
      <c r="D19" s="19" t="n">
        <f aca="false">-Capex_DA!D10</f>
        <v>-6.79</v>
      </c>
      <c r="E19" s="19" t="n">
        <f aca="false">-Capex_DA!E10</f>
        <v>-7.1295</v>
      </c>
      <c r="F19" s="19" t="n">
        <f aca="false">-Capex_DA!F10</f>
        <v>-7.485975</v>
      </c>
      <c r="G19" s="19" t="n">
        <f aca="false">-Capex_DA!G10</f>
        <v>-7.86027375</v>
      </c>
      <c r="H19" s="19" t="n">
        <f aca="false">-Capex_DA!H10</f>
        <v>-8.2532874375</v>
      </c>
    </row>
    <row r="20" customFormat="false" ht="15" hidden="false" customHeight="false" outlineLevel="0" collapsed="false">
      <c r="A20" s="27" t="s">
        <v>251</v>
      </c>
      <c r="D20" s="31" t="n">
        <f aca="false">D10+D19</f>
        <v>53.8766666666667</v>
      </c>
      <c r="E20" s="31" t="n">
        <f aca="false">E10+E19</f>
        <v>56.5705</v>
      </c>
      <c r="F20" s="31" t="n">
        <f aca="false">F10+F19</f>
        <v>59.399025</v>
      </c>
      <c r="G20" s="31" t="n">
        <f aca="false">G10+G19</f>
        <v>62.36897625</v>
      </c>
      <c r="H20" s="31" t="n">
        <f aca="false">H10+H19</f>
        <v>65.4874250625</v>
      </c>
    </row>
    <row r="22" customFormat="false" ht="15" hidden="false" customHeight="false" outlineLevel="0" collapsed="false">
      <c r="A22" s="9" t="s">
        <v>252</v>
      </c>
      <c r="D22" s="19" t="n">
        <f aca="false">-MAX(D20,0)*Assumptions!$B$66</f>
        <v>-11.8744173333333</v>
      </c>
      <c r="E22" s="19" t="n">
        <f aca="false">-MAX(E20,0)*Assumptions!$B$66</f>
        <v>-12.4681382</v>
      </c>
      <c r="F22" s="19" t="n">
        <f aca="false">-MAX(F20,0)*Assumptions!$B$66</f>
        <v>-13.09154511</v>
      </c>
      <c r="G22" s="19" t="n">
        <f aca="false">-MAX(G20,0)*Assumptions!$B$66</f>
        <v>-13.7461223655</v>
      </c>
      <c r="H22" s="19" t="n">
        <f aca="false">-MAX(H20,0)*Assumptions!$B$66</f>
        <v>-14.433428483775</v>
      </c>
    </row>
    <row r="23" customFormat="false" ht="15" hidden="false" customHeight="false" outlineLevel="0" collapsed="false">
      <c r="A23" s="9" t="s">
        <v>237</v>
      </c>
      <c r="D23" s="19" t="n">
        <f aca="false">-Capex_DA!D7</f>
        <v>-9.506</v>
      </c>
      <c r="E23" s="19" t="n">
        <f aca="false">-Capex_DA!E7</f>
        <v>-9.9813</v>
      </c>
      <c r="F23" s="19" t="n">
        <f aca="false">-Capex_DA!F7</f>
        <v>-8.98317</v>
      </c>
      <c r="G23" s="19" t="n">
        <f aca="false">-Capex_DA!G7</f>
        <v>-9.4323285</v>
      </c>
      <c r="H23" s="19" t="n">
        <f aca="false">-Capex_DA!H7</f>
        <v>-9.903944925</v>
      </c>
    </row>
    <row r="24" customFormat="false" ht="15" hidden="false" customHeight="false" outlineLevel="0" collapsed="false">
      <c r="A24" s="9" t="s">
        <v>253</v>
      </c>
      <c r="D24" s="19" t="n">
        <f aca="false">-Working_Capital!D14</f>
        <v>-1.88684931506851</v>
      </c>
      <c r="E24" s="19" t="n">
        <f aca="false">-Working_Capital!E14</f>
        <v>-1.98119178082192</v>
      </c>
      <c r="F24" s="19" t="n">
        <f aca="false">-Working_Capital!F14</f>
        <v>-2.08025136986301</v>
      </c>
      <c r="G24" s="19" t="n">
        <f aca="false">-Working_Capital!G14</f>
        <v>-2.18426393835618</v>
      </c>
      <c r="H24" s="19" t="n">
        <f aca="false">-Working_Capital!H14</f>
        <v>-2.29347713527396</v>
      </c>
    </row>
    <row r="25" customFormat="false" ht="15" hidden="false" customHeight="false" outlineLevel="0" collapsed="false">
      <c r="A25" s="9" t="s">
        <v>254</v>
      </c>
      <c r="D25" s="19" t="n">
        <f aca="false">-Assumptions!$B$120</f>
        <v>-8</v>
      </c>
      <c r="E25" s="15" t="n">
        <v>0</v>
      </c>
      <c r="F25" s="15" t="n">
        <v>0</v>
      </c>
      <c r="G25" s="15" t="n">
        <v>0</v>
      </c>
      <c r="H25" s="15" t="n">
        <v>0</v>
      </c>
    </row>
    <row r="27" customFormat="false" ht="15" hidden="false" customHeight="false" outlineLevel="0" collapsed="false">
      <c r="A27" s="27" t="s">
        <v>255</v>
      </c>
      <c r="D27" s="31" t="n">
        <f aca="false">D10+D22+D23+D24+D25</f>
        <v>29.3994000182648</v>
      </c>
      <c r="E27" s="31" t="n">
        <f aca="false">E10+E22+E23+E24+E25</f>
        <v>39.2693700191781</v>
      </c>
      <c r="F27" s="31" t="n">
        <f aca="false">F10+F22+F23+F24+F25</f>
        <v>42.730033520137</v>
      </c>
      <c r="G27" s="31" t="n">
        <f aca="false">G10+G22+G23+G24+G25</f>
        <v>44.8665351961438</v>
      </c>
      <c r="H27" s="31" t="n">
        <f aca="false">H10+H22+H23+H24+H25</f>
        <v>47.1098619559511</v>
      </c>
    </row>
    <row r="29" customFormat="false" ht="15" hidden="false" customHeight="false" outlineLevel="0" collapsed="false">
      <c r="A29" s="2"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64"/>
    <col collapsed="false" customWidth="true" hidden="false" outlineLevel="0" max="8" min="2" style="0" width="13"/>
  </cols>
  <sheetData>
    <row r="1" customFormat="false" ht="17.35" hidden="false" customHeight="false" outlineLevel="0" collapsed="false">
      <c r="A1" s="1" t="s">
        <v>257</v>
      </c>
    </row>
    <row r="2" customFormat="false" ht="15" hidden="false" customHeight="false" outlineLevel="0" collapsed="false">
      <c r="A2" s="2" t="str">
        <f aca="false">"Active case: "&amp;Assumptions!$B$36&amp;". Terminal value uses a normalised terminal year (margin, D&amp;A, capex and NWC at steady state), so the margin and growth sensitivities are exact."</f>
        <v>Active case: Base. Terminal value uses a normalised terminal year (margin, D&amp;A, capex and NWC at steady state), so the margin and growth sensitivities are exact.</v>
      </c>
    </row>
    <row r="4" customFormat="false" ht="15" hidden="false" customHeight="false" outlineLevel="0" collapsed="false">
      <c r="A4" s="5" t="s">
        <v>225</v>
      </c>
      <c r="B4" s="6" t="s">
        <v>186</v>
      </c>
      <c r="C4" s="6" t="s">
        <v>187</v>
      </c>
      <c r="D4" s="6" t="s">
        <v>188</v>
      </c>
      <c r="E4" s="6" t="s">
        <v>189</v>
      </c>
      <c r="F4" s="6" t="s">
        <v>190</v>
      </c>
    </row>
    <row r="5" customFormat="false" ht="15" hidden="false" customHeight="false" outlineLevel="0" collapsed="false">
      <c r="A5" s="0" t="s">
        <v>255</v>
      </c>
      <c r="B5" s="30" t="n">
        <f aca="false">Carveout_PnL!D27</f>
        <v>29.3994000182648</v>
      </c>
      <c r="C5" s="30" t="n">
        <f aca="false">Carveout_PnL!E27</f>
        <v>39.2693700191781</v>
      </c>
      <c r="D5" s="30" t="n">
        <f aca="false">Carveout_PnL!F27</f>
        <v>42.730033520137</v>
      </c>
      <c r="E5" s="30" t="n">
        <f aca="false">Carveout_PnL!G27</f>
        <v>44.8665351961438</v>
      </c>
      <c r="F5" s="30" t="n">
        <f aca="false">Carveout_PnL!H27</f>
        <v>47.1098619559511</v>
      </c>
    </row>
    <row r="6" customFormat="false" ht="15" hidden="false" customHeight="false" outlineLevel="0" collapsed="false">
      <c r="A6" s="0" t="s">
        <v>258</v>
      </c>
      <c r="B6" s="33" t="n">
        <v>1</v>
      </c>
      <c r="C6" s="33" t="n">
        <v>2</v>
      </c>
      <c r="D6" s="33" t="n">
        <v>3</v>
      </c>
      <c r="E6" s="33" t="n">
        <v>4</v>
      </c>
      <c r="F6" s="33" t="n">
        <v>5</v>
      </c>
    </row>
    <row r="7" customFormat="false" ht="15" hidden="false" customHeight="false" outlineLevel="0" collapsed="false">
      <c r="A7" s="0" t="s">
        <v>259</v>
      </c>
      <c r="B7" s="34" t="n">
        <f aca="false">1/(1+Assumptions!$B$92)^B6</f>
        <v>0.918932171410991</v>
      </c>
      <c r="C7" s="34" t="n">
        <f aca="false">1/(1+Assumptions!$B$92)^C6</f>
        <v>0.844436335654119</v>
      </c>
      <c r="D7" s="34" t="n">
        <f aca="false">1/(1+Assumptions!$B$92)^D6</f>
        <v>0.77597971554098</v>
      </c>
      <c r="E7" s="34" t="n">
        <f aca="false">1/(1+Assumptions!$B$92)^E6</f>
        <v>0.713072724972956</v>
      </c>
      <c r="F7" s="34" t="n">
        <f aca="false">1/(1+Assumptions!$B$92)^F6</f>
        <v>0.655265467533351</v>
      </c>
    </row>
    <row r="8" customFormat="false" ht="15" hidden="false" customHeight="false" outlineLevel="0" collapsed="false">
      <c r="A8" s="0" t="s">
        <v>260</v>
      </c>
      <c r="B8" s="19" t="n">
        <f aca="false">B5*B7</f>
        <v>27.0160544969644</v>
      </c>
      <c r="C8" s="19" t="n">
        <f aca="false">C5*C7</f>
        <v>33.1604829224405</v>
      </c>
      <c r="D8" s="19" t="n">
        <f aca="false">D5*D7</f>
        <v>33.1576392560125</v>
      </c>
      <c r="E8" s="19" t="n">
        <f aca="false">E5*E7</f>
        <v>31.9931025124093</v>
      </c>
      <c r="F8" s="19" t="n">
        <f aca="false">F5*F7</f>
        <v>30.8694657199979</v>
      </c>
    </row>
    <row r="10" customFormat="false" ht="15" hidden="false" customHeight="false" outlineLevel="0" collapsed="false">
      <c r="A10" s="7" t="s">
        <v>261</v>
      </c>
      <c r="B10" s="8"/>
      <c r="C10" s="8"/>
      <c r="D10" s="8"/>
      <c r="E10" s="8"/>
      <c r="F10" s="8"/>
      <c r="G10" s="8"/>
      <c r="H10" s="8"/>
    </row>
    <row r="11" customFormat="false" ht="15" hidden="false" customHeight="false" outlineLevel="0" collapsed="false">
      <c r="A11" s="9" t="s">
        <v>262</v>
      </c>
      <c r="B11" s="30" t="n">
        <f aca="false">Carveout_PnL!H5</f>
        <v>330.1314975</v>
      </c>
    </row>
    <row r="12" customFormat="false" ht="15" hidden="false" customHeight="false" outlineLevel="0" collapsed="false">
      <c r="A12" s="9" t="s">
        <v>263</v>
      </c>
      <c r="B12" s="35" t="n">
        <f aca="false">Carveout_PnL!H11</f>
        <v>0.223367697594502</v>
      </c>
    </row>
    <row r="13" customFormat="false" ht="15" hidden="false" customHeight="false" outlineLevel="0" collapsed="false">
      <c r="A13" s="9" t="s">
        <v>157</v>
      </c>
      <c r="B13" s="29" t="n">
        <f aca="false">Assumptions!$B$100</f>
        <v>0.025</v>
      </c>
    </row>
    <row r="14" customFormat="false" ht="15" hidden="false" customHeight="false" outlineLevel="0" collapsed="false">
      <c r="A14" s="9" t="s">
        <v>264</v>
      </c>
      <c r="B14" s="29" t="n">
        <f aca="false">Assumptions!$B$106</f>
        <v>0.03</v>
      </c>
    </row>
    <row r="15" customFormat="false" ht="15" hidden="false" customHeight="false" outlineLevel="0" collapsed="false">
      <c r="A15" s="9" t="s">
        <v>265</v>
      </c>
      <c r="B15" s="35" t="n">
        <f aca="false">Assumptions!$B$66</f>
        <v>0.2204</v>
      </c>
    </row>
    <row r="16" customFormat="false" ht="15" hidden="false" customHeight="false" outlineLevel="0" collapsed="false">
      <c r="A16" s="9" t="s">
        <v>266</v>
      </c>
      <c r="B16" s="35" t="n">
        <f aca="false">Working_Capital!$B$16</f>
        <v>0.145890410958904</v>
      </c>
    </row>
    <row r="17" customFormat="false" ht="15" hidden="false" customHeight="false" outlineLevel="0" collapsed="false">
      <c r="A17" s="9" t="s">
        <v>267</v>
      </c>
      <c r="B17" s="29" t="n">
        <f aca="false">Assumptions!$B$93</f>
        <v>0.03</v>
      </c>
    </row>
    <row r="18" customFormat="false" ht="15" hidden="false" customHeight="false" outlineLevel="0" collapsed="false">
      <c r="A18" s="9" t="s">
        <v>146</v>
      </c>
      <c r="B18" s="35" t="n">
        <f aca="false">Assumptions!$B$92</f>
        <v>0.0882196</v>
      </c>
    </row>
    <row r="19" customFormat="false" ht="15" hidden="false" customHeight="false" outlineLevel="0" collapsed="false">
      <c r="A19" s="9" t="s">
        <v>268</v>
      </c>
      <c r="B19" s="34" t="n">
        <f aca="false">(B12-B13)*(1-B15)+B13-B14</f>
        <v>0.149647457044674</v>
      </c>
    </row>
    <row r="20" customFormat="false" ht="15" hidden="false" customHeight="false" outlineLevel="0" collapsed="false">
      <c r="A20" s="9" t="s">
        <v>269</v>
      </c>
      <c r="B20" s="19" t="n">
        <f aca="false">B11*((1+B17)*B19-B17*B16)</f>
        <v>49.4405486687392</v>
      </c>
    </row>
    <row r="21" customFormat="false" ht="15" hidden="false" customHeight="false" outlineLevel="0" collapsed="false">
      <c r="A21" s="9" t="s">
        <v>270</v>
      </c>
      <c r="B21" s="19" t="n">
        <f aca="false">B20/(B18-B17)</f>
        <v>849.207975814659</v>
      </c>
    </row>
    <row r="22" customFormat="false" ht="15" hidden="false" customHeight="false" outlineLevel="0" collapsed="false">
      <c r="A22" s="9" t="s">
        <v>271</v>
      </c>
      <c r="B22" s="19" t="n">
        <f aca="false">B21*F7</f>
        <v>556.456661305243</v>
      </c>
    </row>
    <row r="23" customFormat="false" ht="15" hidden="false" customHeight="false" outlineLevel="0" collapsed="false">
      <c r="A23" s="9" t="s">
        <v>272</v>
      </c>
      <c r="B23" s="19" t="n">
        <f aca="false">SUM(B8:F8)</f>
        <v>156.196744907825</v>
      </c>
    </row>
    <row r="24" customFormat="false" ht="15" hidden="false" customHeight="false" outlineLevel="0" collapsed="false">
      <c r="A24" s="27" t="s">
        <v>273</v>
      </c>
      <c r="B24" s="36" t="n">
        <f aca="false">B22+B23</f>
        <v>712.653406213068</v>
      </c>
    </row>
    <row r="25" customFormat="false" ht="15" hidden="false" customHeight="false" outlineLevel="0" collapsed="false">
      <c r="A25" s="9" t="s">
        <v>274</v>
      </c>
      <c r="B25" s="18" t="n">
        <f aca="false">B22/B24</f>
        <v>0.780823688561554</v>
      </c>
    </row>
    <row r="26" customFormat="false" ht="15" hidden="false" customHeight="false" outlineLevel="0" collapsed="false">
      <c r="A26" s="9" t="s">
        <v>275</v>
      </c>
      <c r="B26" s="21" t="n">
        <f aca="false">B24/Assumptions!$B$28</f>
        <v>12.3343858767646</v>
      </c>
    </row>
    <row r="27" customFormat="false" ht="15" hidden="false" customHeight="false" outlineLevel="0" collapsed="false">
      <c r="A27" s="9" t="s">
        <v>276</v>
      </c>
      <c r="B27" s="21" t="n">
        <f aca="false">B24/Carveout_PnL!D10</f>
        <v>11.7470341683473</v>
      </c>
    </row>
    <row r="28" customFormat="false" ht="15" hidden="false" customHeight="false" outlineLevel="0" collapsed="false">
      <c r="A28" s="9" t="s">
        <v>277</v>
      </c>
      <c r="B28" s="37" t="n">
        <f aca="false">B24/Assumptions!$B$26</f>
        <v>2.75510337453506</v>
      </c>
    </row>
    <row r="29" customFormat="false" ht="15" hidden="false" customHeight="false" outlineLevel="0" collapsed="false">
      <c r="A29" s="9" t="s">
        <v>278</v>
      </c>
      <c r="B29" s="21" t="n">
        <f aca="false">B21/Carveout_PnL!H10</f>
        <v>11.5161346700394</v>
      </c>
    </row>
    <row r="31" customFormat="false" ht="15" hidden="false" customHeight="false" outlineLevel="0" collapsed="false">
      <c r="A31" s="7" t="s">
        <v>279</v>
      </c>
      <c r="B31" s="8"/>
      <c r="C31" s="8"/>
      <c r="D31" s="8"/>
      <c r="E31" s="8"/>
      <c r="F31" s="8"/>
      <c r="G31" s="8"/>
      <c r="H31" s="8"/>
    </row>
    <row r="32" customFormat="false" ht="15" hidden="false" customHeight="false" outlineLevel="0" collapsed="false">
      <c r="A32" s="2" t="s">
        <v>280</v>
      </c>
    </row>
    <row r="33" customFormat="false" ht="15" hidden="false" customHeight="false" outlineLevel="0" collapsed="false">
      <c r="A33" s="5" t="s">
        <v>281</v>
      </c>
      <c r="B33" s="38" t="n">
        <f aca="false">$B$17+(-2)*Assumptions!$B$95</f>
        <v>0.02</v>
      </c>
      <c r="C33" s="38" t="n">
        <f aca="false">$B$17+(-1)*Assumptions!$B$95</f>
        <v>0.025</v>
      </c>
      <c r="D33" s="38" t="n">
        <f aca="false">$B$17+(0)*Assumptions!$B$95</f>
        <v>0.03</v>
      </c>
      <c r="E33" s="38" t="n">
        <f aca="false">$B$17+(1)*Assumptions!$B$95</f>
        <v>0.035</v>
      </c>
      <c r="F33" s="38" t="n">
        <f aca="false">$B$17+(2)*Assumptions!$B$95</f>
        <v>0.04</v>
      </c>
    </row>
    <row r="34" customFormat="false" ht="15" hidden="false" customHeight="false" outlineLevel="0" collapsed="false">
      <c r="A34" s="39" t="n">
        <f aca="false">$B$18+(-2)*Assumptions!$B$94</f>
        <v>0.0782196</v>
      </c>
      <c r="B34" s="40" t="n">
        <f aca="false">B$5/(1+$A34)^1+C$5/(1+$A34)^2+D$5/(1+$A34)^3+E$5/(1+$A34)^4+F$5/(1+$A34)^5+$B$11*((1+B$33)*(($B$12-$B$13)*(1-$B$15)+$B$13-$B$14)-B$33*$B$16)/($A34-B$33)/(1+$A34)^5</f>
        <v>743.256205825055</v>
      </c>
      <c r="C34" s="40" t="n">
        <f aca="false">B$5/(1+$A34)^1+C$5/(1+$A34)^2+D$5/(1+$A34)^3+E$5/(1+$A34)^4+F$5/(1+$A34)^5+$B$11*((1+C$33)*(($B$12-$B$13)*(1-$B$15)+$B$13-$B$14)-C$33*$B$16)/($A34-C$33)/(1+$A34)^5</f>
        <v>798.071455356541</v>
      </c>
      <c r="D34" s="40" t="n">
        <f aca="false">B$5/(1+$A34)^1+C$5/(1+$A34)^2+D$5/(1+$A34)^3+E$5/(1+$A34)^4+F$5/(1+$A34)^5+$B$11*((1+D$33)*(($B$12-$B$13)*(1-$B$15)+$B$13-$B$14)-D$33*$B$16)/($A34-D$33)/(1+$A34)^5</f>
        <v>864.254540691618</v>
      </c>
      <c r="E34" s="40" t="n">
        <f aca="false">B$5/(1+$A34)^1+C$5/(1+$A34)^2+D$5/(1+$A34)^3+E$5/(1+$A34)^4+F$5/(1+$A34)^5+$B$11*((1+E$33)*(($B$12-$B$13)*(1-$B$15)+$B$13-$B$14)-E$33*$B$16)/($A34-E$33)/(1+$A34)^5</f>
        <v>945.750837008535</v>
      </c>
      <c r="F34" s="40" t="n">
        <f aca="false">B$5/(1+$A34)^1+C$5/(1+$A34)^2+D$5/(1+$A34)^3+E$5/(1+$A34)^4+F$5/(1+$A34)^5+$B$11*((1+F$33)*(($B$12-$B$13)*(1-$B$15)+$B$13-$B$14)-F$33*$B$16)/($A34-F$33)/(1+$A34)^5</f>
        <v>1048.57030162573</v>
      </c>
    </row>
    <row r="35" customFormat="false" ht="15" hidden="false" customHeight="false" outlineLevel="0" collapsed="false">
      <c r="A35" s="39" t="n">
        <f aca="false">$B$18+(-1)*Assumptions!$B$94</f>
        <v>0.0832196</v>
      </c>
      <c r="B35" s="40" t="n">
        <f aca="false">B$5/(1+$A35)^1+C$5/(1+$A35)^2+D$5/(1+$A35)^3+E$5/(1+$A35)^4+F$5/(1+$A35)^5+$B$11*((1+B$33)*(($B$12-$B$13)*(1-$B$15)+$B$13-$B$14)-B$33*$B$16)/($A35-B$33)/(1+$A35)^5</f>
        <v>682.655334250602</v>
      </c>
      <c r="C35" s="40" t="n">
        <f aca="false">B$5/(1+$A35)^1+C$5/(1+$A35)^2+D$5/(1+$A35)^3+E$5/(1+$A35)^4+F$5/(1+$A35)^5+$B$11*((1+C$33)*(($B$12-$B$13)*(1-$B$15)+$B$13-$B$14)-C$33*$B$16)/($A35-C$33)/(1+$A35)^5</f>
        <v>727.750421081496</v>
      </c>
      <c r="D35" s="40" t="n">
        <f aca="false">B$5/(1+$A35)^1+C$5/(1+$A35)^2+D$5/(1+$A35)^3+E$5/(1+$A35)^4+F$5/(1+$A35)^5+$B$11*((1+D$33)*(($B$12-$B$13)*(1-$B$15)+$B$13-$B$14)-D$33*$B$16)/($A35-D$33)/(1+$A35)^5</f>
        <v>781.318906215064</v>
      </c>
      <c r="E35" s="40" t="n">
        <f aca="false">B$5/(1+$A35)^1+C$5/(1+$A35)^2+D$5/(1+$A35)^3+E$5/(1+$A35)^4+F$5/(1+$A35)^5+$B$11*((1+E$33)*(($B$12-$B$13)*(1-$B$15)+$B$13-$B$14)-E$33*$B$16)/($A35-E$33)/(1+$A35)^5</f>
        <v>845.996667479824</v>
      </c>
      <c r="F35" s="40" t="n">
        <f aca="false">B$5/(1+$A35)^1+C$5/(1+$A35)^2+D$5/(1+$A35)^3+E$5/(1+$A35)^4+F$5/(1+$A35)^5+$B$11*((1+F$33)*(($B$12-$B$13)*(1-$B$15)+$B$13-$B$14)-F$33*$B$16)/($A35-F$33)/(1+$A35)^5</f>
        <v>925.639343103987</v>
      </c>
    </row>
    <row r="36" customFormat="false" ht="15" hidden="false" customHeight="false" outlineLevel="0" collapsed="false">
      <c r="A36" s="39" t="n">
        <f aca="false">$B$18+(0)*Assumptions!$B$94</f>
        <v>0.0882196</v>
      </c>
      <c r="B36" s="40" t="n">
        <f aca="false">B$5/(1+$A36)^1+C$5/(1+$A36)^2+D$5/(1+$A36)^3+E$5/(1+$A36)^4+F$5/(1+$A36)^5+$B$11*((1+B$33)*(($B$12-$B$13)*(1-$B$15)+$B$13-$B$14)-B$33*$B$16)/($A36-B$33)/(1+$A36)^5</f>
        <v>630.965826737551</v>
      </c>
      <c r="C36" s="40" t="n">
        <f aca="false">B$5/(1+$A36)^1+C$5/(1+$A36)^2+D$5/(1+$A36)^3+E$5/(1+$A36)^4+F$5/(1+$A36)^5+$B$11*((1+C$33)*(($B$12-$B$13)*(1-$B$15)+$B$13-$B$14)-C$33*$B$16)/($A36-C$33)/(1+$A36)^5</f>
        <v>668.579305801265</v>
      </c>
      <c r="D36" s="41" t="n">
        <f aca="false">B$5/(1+$A36)^1+C$5/(1+$A36)^2+D$5/(1+$A36)^3+E$5/(1+$A36)^4+F$5/(1+$A36)^5+$B$11*((1+D$33)*(($B$12-$B$13)*(1-$B$15)+$B$13-$B$14)-D$33*$B$16)/($A36-D$33)/(1+$A36)^5</f>
        <v>712.653406213068</v>
      </c>
      <c r="E36" s="40" t="n">
        <f aca="false">B$5/(1+$A36)^1+C$5/(1+$A36)^2+D$5/(1+$A36)^3+E$5/(1+$A36)^4+F$5/(1+$A36)^5+$B$11*((1+E$33)*(($B$12-$B$13)*(1-$B$15)+$B$13-$B$14)-E$33*$B$16)/($A36-E$33)/(1+$A36)^5</f>
        <v>765.009060866503</v>
      </c>
      <c r="F36" s="40" t="n">
        <f aca="false">B$5/(1+$A36)^1+C$5/(1+$A36)^2+D$5/(1+$A36)^3+E$5/(1+$A36)^4+F$5/(1+$A36)^5+$B$11*((1+F$33)*(($B$12-$B$13)*(1-$B$15)+$B$13-$B$14)-F$33*$B$16)/($A36-F$33)/(1+$A36)^5</f>
        <v>828.22246934897</v>
      </c>
    </row>
    <row r="37" customFormat="false" ht="15" hidden="false" customHeight="false" outlineLevel="0" collapsed="false">
      <c r="A37" s="39" t="n">
        <f aca="false">$B$18+(1)*Assumptions!$B$94</f>
        <v>0.0932196</v>
      </c>
      <c r="B37" s="40" t="n">
        <f aca="false">B$5/(1+$A37)^1+C$5/(1+$A37)^2+D$5/(1+$A37)^3+E$5/(1+$A37)^4+F$5/(1+$A37)^5+$B$11*((1+B$33)*(($B$12-$B$13)*(1-$B$15)+$B$13-$B$14)-B$33*$B$16)/($A37-B$33)/(1+$A37)^5</f>
        <v>586.361441019878</v>
      </c>
      <c r="C37" s="40" t="n">
        <f aca="false">B$5/(1+$A37)^1+C$5/(1+$A37)^2+D$5/(1+$A37)^3+E$5/(1+$A37)^4+F$5/(1+$A37)^5+$B$11*((1+C$33)*(($B$12-$B$13)*(1-$B$15)+$B$13-$B$14)-C$33*$B$16)/($A37-C$33)/(1+$A37)^5</f>
        <v>618.105902335867</v>
      </c>
      <c r="D37" s="40" t="n">
        <f aca="false">B$5/(1+$A37)^1+C$5/(1+$A37)^2+D$5/(1+$A37)^3+E$5/(1+$A37)^4+F$5/(1+$A37)^5+$B$11*((1+D$33)*(($B$12-$B$13)*(1-$B$15)+$B$13-$B$14)-D$33*$B$16)/($A37-D$33)/(1+$A37)^5</f>
        <v>654.871664216237</v>
      </c>
      <c r="E37" s="40" t="n">
        <f aca="false">B$5/(1+$A37)^1+C$5/(1+$A37)^2+D$5/(1+$A37)^3+E$5/(1+$A37)^4+F$5/(1+$A37)^5+$B$11*((1+E$33)*(($B$12-$B$13)*(1-$B$15)+$B$13-$B$14)-E$33*$B$16)/($A37-E$33)/(1+$A37)^5</f>
        <v>697.952440607246</v>
      </c>
      <c r="F37" s="40" t="n">
        <f aca="false">B$5/(1+$A37)^1+C$5/(1+$A37)^2+D$5/(1+$A37)^3+E$5/(1+$A37)^4+F$5/(1+$A37)^5+$B$11*((1+F$33)*(($B$12-$B$13)*(1-$B$15)+$B$13-$B$14)-F$33*$B$16)/($A37-F$33)/(1+$A37)^5</f>
        <v>749.128124962805</v>
      </c>
    </row>
    <row r="38" customFormat="false" ht="15" hidden="false" customHeight="false" outlineLevel="0" collapsed="false">
      <c r="A38" s="39" t="n">
        <f aca="false">$B$18+(2)*Assumptions!$B$94</f>
        <v>0.0982196</v>
      </c>
      <c r="B38" s="40" t="n">
        <f aca="false">B$5/(1+$A38)^1+C$5/(1+$A38)^2+D$5/(1+$A38)^3+E$5/(1+$A38)^4+F$5/(1+$A38)^5+$B$11*((1+B$33)*(($B$12-$B$13)*(1-$B$15)+$B$13-$B$14)-B$33*$B$16)/($A38-B$33)/(1+$A38)^5</f>
        <v>547.482905408876</v>
      </c>
      <c r="C38" s="40" t="n">
        <f aca="false">B$5/(1+$A38)^1+C$5/(1+$A38)^2+D$5/(1+$A38)^3+E$5/(1+$A38)^4+F$5/(1+$A38)^5+$B$11*((1+C$33)*(($B$12-$B$13)*(1-$B$15)+$B$13-$B$14)-C$33*$B$16)/($A38-C$33)/(1+$A38)^5</f>
        <v>574.547842464743</v>
      </c>
      <c r="D38" s="40" t="n">
        <f aca="false">B$5/(1+$A38)^1+C$5/(1+$A38)^2+D$5/(1+$A38)^3+E$5/(1+$A38)^4+F$5/(1+$A38)^5+$B$11*((1+D$33)*(($B$12-$B$13)*(1-$B$15)+$B$13-$B$14)-D$33*$B$16)/($A38-D$33)/(1+$A38)^5</f>
        <v>605.580105194737</v>
      </c>
      <c r="E38" s="40" t="n">
        <f aca="false">B$5/(1+$A38)^1+C$5/(1+$A38)^2+D$5/(1+$A38)^3+E$5/(1+$A38)^4+F$5/(1+$A38)^5+$B$11*((1+E$33)*(($B$12-$B$13)*(1-$B$15)+$B$13-$B$14)-E$33*$B$16)/($A38-E$33)/(1+$A38)^5</f>
        <v>641.521013776649</v>
      </c>
      <c r="F38" s="40" t="n">
        <f aca="false">B$5/(1+$A38)^1+C$5/(1+$A38)^2+D$5/(1+$A38)^3+E$5/(1+$A38)^4+F$5/(1+$A38)^5+$B$11*((1+F$33)*(($B$12-$B$13)*(1-$B$15)+$B$13-$B$14)-F$33*$B$16)/($A38-F$33)/(1+$A38)^5</f>
        <v>683.635257211757</v>
      </c>
    </row>
    <row r="41" customFormat="false" ht="15" hidden="false" customHeight="false" outlineLevel="0" collapsed="false">
      <c r="A41" s="7" t="s">
        <v>282</v>
      </c>
      <c r="B41" s="8"/>
      <c r="C41" s="8"/>
      <c r="D41" s="8"/>
      <c r="E41" s="8"/>
      <c r="F41" s="8"/>
      <c r="G41" s="8"/>
      <c r="H41" s="8"/>
    </row>
    <row r="42" customFormat="false" ht="15" hidden="false" customHeight="false" outlineLevel="0" collapsed="false">
      <c r="A42" s="5" t="s">
        <v>283</v>
      </c>
      <c r="B42" s="42" t="n">
        <f aca="false">$B$12+(-2)*Assumptions!$B$96</f>
        <v>0.183367697594502</v>
      </c>
      <c r="C42" s="42" t="n">
        <f aca="false">$B$12+(-1)*Assumptions!$B$96</f>
        <v>0.203367697594502</v>
      </c>
      <c r="D42" s="42" t="n">
        <f aca="false">$B$12+(0)*Assumptions!$B$96</f>
        <v>0.223367697594502</v>
      </c>
      <c r="E42" s="42" t="n">
        <f aca="false">$B$12+(1)*Assumptions!$B$96</f>
        <v>0.243367697594502</v>
      </c>
      <c r="F42" s="42" t="n">
        <f aca="false">$B$12+(2)*Assumptions!$B$96</f>
        <v>0.263367697594502</v>
      </c>
    </row>
    <row r="43" customFormat="false" ht="15" hidden="false" customHeight="false" outlineLevel="0" collapsed="false">
      <c r="A43" s="39" t="n">
        <f aca="false">$B$18+(-2)*Assumptions!$B$94</f>
        <v>0.0782196</v>
      </c>
      <c r="B43" s="40" t="n">
        <f aca="false">B$5/(1+$A43)^1+C$5/(1+$A43)^2+D$5/(1+$A43)^3+E$5/(1+$A43)^4+F$5/(1+$A43)^5+$B$11*((1+$B$17)*((B$42-$B$13)*(1-$B$15)+$B$13-$B$14)-$B$17*$B$16)/($A43-$B$17)/(1+$A43)^5</f>
        <v>713.352089661723</v>
      </c>
      <c r="C43" s="40" t="n">
        <f aca="false">B$5/(1+$A43)^1+C$5/(1+$A43)^2+D$5/(1+$A43)^3+E$5/(1+$A43)^4+F$5/(1+$A43)^5+$B$11*((1+$B$17)*((C$42-$B$13)*(1-$B$15)+$B$13-$B$14)-$B$17*$B$16)/($A43-$B$17)/(1+$A43)^5</f>
        <v>788.80331517667</v>
      </c>
      <c r="D43" s="40" t="n">
        <f aca="false">B$5/(1+$A43)^1+C$5/(1+$A43)^2+D$5/(1+$A43)^3+E$5/(1+$A43)^4+F$5/(1+$A43)^5+$B$11*((1+$B$17)*((D$42-$B$13)*(1-$B$15)+$B$13-$B$14)-$B$17*$B$16)/($A43-$B$17)/(1+$A43)^5</f>
        <v>864.254540691618</v>
      </c>
      <c r="E43" s="40" t="n">
        <f aca="false">B$5/(1+$A43)^1+C$5/(1+$A43)^2+D$5/(1+$A43)^3+E$5/(1+$A43)^4+F$5/(1+$A43)^5+$B$11*((1+$B$17)*((E$42-$B$13)*(1-$B$15)+$B$13-$B$14)-$B$17*$B$16)/($A43-$B$17)/(1+$A43)^5</f>
        <v>939.705766206565</v>
      </c>
      <c r="F43" s="40" t="n">
        <f aca="false">B$5/(1+$A43)^1+C$5/(1+$A43)^2+D$5/(1+$A43)^3+E$5/(1+$A43)^4+F$5/(1+$A43)^5+$B$11*((1+$B$17)*((F$42-$B$13)*(1-$B$15)+$B$13-$B$14)-$B$17*$B$16)/($A43-$B$17)/(1+$A43)^5</f>
        <v>1015.15699172151</v>
      </c>
    </row>
    <row r="44" customFormat="false" ht="15" hidden="false" customHeight="false" outlineLevel="0" collapsed="false">
      <c r="A44" s="39" t="n">
        <f aca="false">$B$18+(-1)*Assumptions!$B$94</f>
        <v>0.0832196</v>
      </c>
      <c r="B44" s="40" t="n">
        <f aca="false">B$5/(1+$A44)^1+C$5/(1+$A44)^2+D$5/(1+$A44)^3+E$5/(1+$A44)^4+F$5/(1+$A44)^5+$B$11*((1+$B$17)*((B$42-$B$13)*(1-$B$15)+$B$13-$B$14)-$B$17*$B$16)/($A44-$B$17)/(1+$A44)^5</f>
        <v>647.720322503534</v>
      </c>
      <c r="C44" s="40" t="n">
        <f aca="false">B$5/(1+$A44)^1+C$5/(1+$A44)^2+D$5/(1+$A44)^3+E$5/(1+$A44)^4+F$5/(1+$A44)^5+$B$11*((1+$B$17)*((C$42-$B$13)*(1-$B$15)+$B$13-$B$14)-$B$17*$B$16)/($A44-$B$17)/(1+$A44)^5</f>
        <v>714.519614359299</v>
      </c>
      <c r="D44" s="40" t="n">
        <f aca="false">B$5/(1+$A44)^1+C$5/(1+$A44)^2+D$5/(1+$A44)^3+E$5/(1+$A44)^4+F$5/(1+$A44)^5+$B$11*((1+$B$17)*((D$42-$B$13)*(1-$B$15)+$B$13-$B$14)-$B$17*$B$16)/($A44-$B$17)/(1+$A44)^5</f>
        <v>781.318906215064</v>
      </c>
      <c r="E44" s="40" t="n">
        <f aca="false">B$5/(1+$A44)^1+C$5/(1+$A44)^2+D$5/(1+$A44)^3+E$5/(1+$A44)^4+F$5/(1+$A44)^5+$B$11*((1+$B$17)*((E$42-$B$13)*(1-$B$15)+$B$13-$B$14)-$B$17*$B$16)/($A44-$B$17)/(1+$A44)^5</f>
        <v>848.118198070829</v>
      </c>
      <c r="F44" s="40" t="n">
        <f aca="false">B$5/(1+$A44)^1+C$5/(1+$A44)^2+D$5/(1+$A44)^3+E$5/(1+$A44)^4+F$5/(1+$A44)^5+$B$11*((1+$B$17)*((F$42-$B$13)*(1-$B$15)+$B$13-$B$14)-$B$17*$B$16)/($A44-$B$17)/(1+$A44)^5</f>
        <v>914.917489926594</v>
      </c>
    </row>
    <row r="45" customFormat="false" ht="15" hidden="false" customHeight="false" outlineLevel="0" collapsed="false">
      <c r="A45" s="39" t="n">
        <f aca="false">$B$18+(0)*Assumptions!$B$94</f>
        <v>0.0882196</v>
      </c>
      <c r="B45" s="40" t="n">
        <f aca="false">B$5/(1+$A45)^1+C$5/(1+$A45)^2+D$5/(1+$A45)^3+E$5/(1+$A45)^4+F$5/(1+$A45)^5+$B$11*((1+$B$17)*((B$42-$B$13)*(1-$B$15)+$B$13-$B$14)-$B$17*$B$16)/($A45-$B$17)/(1+$A45)^5</f>
        <v>593.308449208631</v>
      </c>
      <c r="C45" s="40" t="n">
        <f aca="false">B$5/(1+$A45)^1+C$5/(1+$A45)^2+D$5/(1+$A45)^3+E$5/(1+$A45)^4+F$5/(1+$A45)^5+$B$11*((1+$B$17)*((C$42-$B$13)*(1-$B$15)+$B$13-$B$14)-$B$17*$B$16)/($A45-$B$17)/(1+$A45)^5</f>
        <v>652.980927710849</v>
      </c>
      <c r="D45" s="41" t="n">
        <f aca="false">B$5/(1+$A45)^1+C$5/(1+$A45)^2+D$5/(1+$A45)^3+E$5/(1+$A45)^4+F$5/(1+$A45)^5+$B$11*((1+$B$17)*((D$42-$B$13)*(1-$B$15)+$B$13-$B$14)-$B$17*$B$16)/($A45-$B$17)/(1+$A45)^5</f>
        <v>712.653406213068</v>
      </c>
      <c r="E45" s="40" t="n">
        <f aca="false">B$5/(1+$A45)^1+C$5/(1+$A45)^2+D$5/(1+$A45)^3+E$5/(1+$A45)^4+F$5/(1+$A45)^5+$B$11*((1+$B$17)*((E$42-$B$13)*(1-$B$15)+$B$13-$B$14)-$B$17*$B$16)/($A45-$B$17)/(1+$A45)^5</f>
        <v>772.325884715286</v>
      </c>
      <c r="F45" s="40" t="n">
        <f aca="false">B$5/(1+$A45)^1+C$5/(1+$A45)^2+D$5/(1+$A45)^3+E$5/(1+$A45)^4+F$5/(1+$A45)^5+$B$11*((1+$B$17)*((F$42-$B$13)*(1-$B$15)+$B$13-$B$14)-$B$17*$B$16)/($A45-$B$17)/(1+$A45)^5</f>
        <v>831.998363217504</v>
      </c>
    </row>
    <row r="46" customFormat="false" ht="15" hidden="false" customHeight="false" outlineLevel="0" collapsed="false">
      <c r="A46" s="39" t="n">
        <f aca="false">$B$18+(1)*Assumptions!$B$94</f>
        <v>0.0932196</v>
      </c>
      <c r="B46" s="40" t="n">
        <f aca="false">B$5/(1+$A46)^1+C$5/(1+$A46)^2+D$5/(1+$A46)^3+E$5/(1+$A46)^4+F$5/(1+$A46)^5+$B$11*((1+$B$17)*((B$42-$B$13)*(1-$B$15)+$B$13-$B$14)-$B$17*$B$16)/($A46-$B$17)/(1+$A46)^5</f>
        <v>547.45609910956</v>
      </c>
      <c r="C46" s="40" t="n">
        <f aca="false">B$5/(1+$A46)^1+C$5/(1+$A46)^2+D$5/(1+$A46)^3+E$5/(1+$A46)^4+F$5/(1+$A46)^5+$B$11*((1+$B$17)*((C$42-$B$13)*(1-$B$15)+$B$13-$B$14)-$B$17*$B$16)/($A46-$B$17)/(1+$A46)^5</f>
        <v>601.163881662898</v>
      </c>
      <c r="D46" s="40" t="n">
        <f aca="false">B$5/(1+$A46)^1+C$5/(1+$A46)^2+D$5/(1+$A46)^3+E$5/(1+$A46)^4+F$5/(1+$A46)^5+$B$11*((1+$B$17)*((D$42-$B$13)*(1-$B$15)+$B$13-$B$14)-$B$17*$B$16)/($A46-$B$17)/(1+$A46)^5</f>
        <v>654.871664216237</v>
      </c>
      <c r="E46" s="40" t="n">
        <f aca="false">B$5/(1+$A46)^1+C$5/(1+$A46)^2+D$5/(1+$A46)^3+E$5/(1+$A46)^4+F$5/(1+$A46)^5+$B$11*((1+$B$17)*((E$42-$B$13)*(1-$B$15)+$B$13-$B$14)-$B$17*$B$16)/($A46-$B$17)/(1+$A46)^5</f>
        <v>708.579446769575</v>
      </c>
      <c r="F46" s="40" t="n">
        <f aca="false">B$5/(1+$A46)^1+C$5/(1+$A46)^2+D$5/(1+$A46)^3+E$5/(1+$A46)^4+F$5/(1+$A46)^5+$B$11*((1+$B$17)*((F$42-$B$13)*(1-$B$15)+$B$13-$B$14)-$B$17*$B$16)/($A46-$B$17)/(1+$A46)^5</f>
        <v>762.287229322913</v>
      </c>
    </row>
    <row r="47" customFormat="false" ht="15" hidden="false" customHeight="false" outlineLevel="0" collapsed="false">
      <c r="A47" s="39" t="n">
        <f aca="false">$B$18+(2)*Assumptions!$B$94</f>
        <v>0.0982196</v>
      </c>
      <c r="B47" s="40" t="n">
        <f aca="false">B$5/(1+$A47)^1+C$5/(1+$A47)^2+D$5/(1+$A47)^3+E$5/(1+$A47)^4+F$5/(1+$A47)^5+$B$11*((1+$B$17)*((B$42-$B$13)*(1-$B$15)+$B$13-$B$14)-$B$17*$B$16)/($A47-$B$17)/(1+$A47)^5</f>
        <v>508.28278293787</v>
      </c>
      <c r="C47" s="40" t="n">
        <f aca="false">B$5/(1+$A47)^1+C$5/(1+$A47)^2+D$5/(1+$A47)^3+E$5/(1+$A47)^4+F$5/(1+$A47)^5+$B$11*((1+$B$17)*((C$42-$B$13)*(1-$B$15)+$B$13-$B$14)-$B$17*$B$16)/($A47-$B$17)/(1+$A47)^5</f>
        <v>556.931444066303</v>
      </c>
      <c r="D47" s="40" t="n">
        <f aca="false">B$5/(1+$A47)^1+C$5/(1+$A47)^2+D$5/(1+$A47)^3+E$5/(1+$A47)^4+F$5/(1+$A47)^5+$B$11*((1+$B$17)*((D$42-$B$13)*(1-$B$15)+$B$13-$B$14)-$B$17*$B$16)/($A47-$B$17)/(1+$A47)^5</f>
        <v>605.580105194737</v>
      </c>
      <c r="E47" s="40" t="n">
        <f aca="false">B$5/(1+$A47)^1+C$5/(1+$A47)^2+D$5/(1+$A47)^3+E$5/(1+$A47)^4+F$5/(1+$A47)^5+$B$11*((1+$B$17)*((E$42-$B$13)*(1-$B$15)+$B$13-$B$14)-$B$17*$B$16)/($A47-$B$17)/(1+$A47)^5</f>
        <v>654.22876632317</v>
      </c>
      <c r="F47" s="40" t="n">
        <f aca="false">B$5/(1+$A47)^1+C$5/(1+$A47)^2+D$5/(1+$A47)^3+E$5/(1+$A47)^4+F$5/(1+$A47)^5+$B$11*((1+$B$17)*((F$42-$B$13)*(1-$B$15)+$B$13-$B$14)-$B$17*$B$16)/($A47-$B$17)/(1+$A47)^5</f>
        <v>702.877427451604</v>
      </c>
    </row>
    <row r="50" customFormat="false" ht="15" hidden="false" customHeight="false" outlineLevel="0" collapsed="false">
      <c r="A50" s="7" t="s">
        <v>284</v>
      </c>
      <c r="B50" s="8"/>
      <c r="C50" s="8"/>
      <c r="D50" s="8"/>
      <c r="E50" s="8"/>
      <c r="F50" s="8"/>
      <c r="G50" s="8"/>
      <c r="H50" s="8"/>
    </row>
    <row r="51" customFormat="false" ht="15" hidden="false" customHeight="false" outlineLevel="0" collapsed="false">
      <c r="A51" s="9" t="s">
        <v>27</v>
      </c>
      <c r="B51" s="30" t="n">
        <f aca="false">Assumptions!$B$10</f>
        <v>1200</v>
      </c>
    </row>
    <row r="52" customFormat="false" ht="15" hidden="false" customHeight="false" outlineLevel="0" collapsed="false">
      <c r="A52" s="9" t="s">
        <v>285</v>
      </c>
      <c r="B52" s="19" t="n">
        <f aca="false">B51-B24</f>
        <v>487.346593786932</v>
      </c>
    </row>
    <row r="53" customFormat="false" ht="15" hidden="false" customHeight="false" outlineLevel="0" collapsed="false">
      <c r="A53" s="9" t="s">
        <v>286</v>
      </c>
      <c r="B53" s="19" t="n">
        <f aca="false">(B51-B23)/F7</f>
        <v>1592.94714403525</v>
      </c>
    </row>
    <row r="54" customFormat="false" ht="15" hidden="false" customHeight="false" outlineLevel="0" collapsed="false">
      <c r="A54" s="9" t="s">
        <v>287</v>
      </c>
      <c r="B54" s="34" t="n">
        <f aca="false">(B53*(B18-B17)/B11+B17*B16)/(1+B17)</f>
        <v>0.276987703018257</v>
      </c>
    </row>
    <row r="55" customFormat="false" ht="15" hidden="false" customHeight="false" outlineLevel="0" collapsed="false">
      <c r="A55" s="27" t="s">
        <v>288</v>
      </c>
      <c r="B55" s="43" t="n">
        <f aca="false">(B54-B13+B14)/(1-B15)+B13</f>
        <v>0.386708187555486</v>
      </c>
    </row>
    <row r="56" customFormat="false" ht="15" hidden="false" customHeight="false" outlineLevel="0" collapsed="false">
      <c r="A56" s="9" t="s">
        <v>289</v>
      </c>
      <c r="B56" s="24" t="n">
        <f aca="false">B55-B12</f>
        <v>0.163340489960984</v>
      </c>
    </row>
    <row r="57" customFormat="false" ht="15" hidden="false" customHeight="false" outlineLevel="0" collapsed="false">
      <c r="A57" s="9" t="s">
        <v>290</v>
      </c>
      <c r="B57" s="24" t="n">
        <f aca="false">B55-Assumptions!$B$24</f>
        <v>0.163340489960984</v>
      </c>
    </row>
    <row r="58" customFormat="false" ht="15" hidden="false" customHeight="false" outlineLevel="0" collapsed="false">
      <c r="A58" s="27" t="s">
        <v>291</v>
      </c>
      <c r="B58" s="43" t="n">
        <f aca="false">(B53*B18-B11*B19)/(B11*(B19-B16)+B53)</f>
        <v>0.0571612955661382</v>
      </c>
    </row>
    <row r="59" customFormat="false" ht="15" hidden="false" customHeight="false" outlineLevel="0" collapsed="false">
      <c r="A59" s="9" t="s">
        <v>292</v>
      </c>
      <c r="B59" s="24" t="n">
        <f aca="false">B58-B17</f>
        <v>0.0271612955661382</v>
      </c>
    </row>
    <row r="60" customFormat="false" ht="15" hidden="false" customHeight="false" outlineLevel="0" collapsed="false">
      <c r="A60" s="9" t="s">
        <v>293</v>
      </c>
      <c r="B60" s="19" t="n">
        <f aca="false">B$5/(1+$B$18)^1+C$5/(1+$B$18)^2+D$5/(1+$B$18)^3+E$5/(1+$B$18)^4+F$5/(1+$B$18)^5+$B$11*((1+$B$17)*(($B$55-$B$13)*(1-$B$15)+$B$13-$B$14)-$B$17*$B$16)/($B$18-$B$17)/(1+$B$18)^5</f>
        <v>1200</v>
      </c>
    </row>
    <row r="61" customFormat="false" ht="15" hidden="false" customHeight="false" outlineLevel="0" collapsed="false">
      <c r="A61" s="9" t="s">
        <v>294</v>
      </c>
      <c r="B61" s="19" t="n">
        <f aca="false">B$5/(1+$B$18)^1+C$5/(1+$B$18)^2+D$5/(1+$B$18)^3+E$5/(1+$B$18)^4+F$5/(1+$B$18)^5+$B$11*((1+$B$58)*(($B$12-$B$13)*(1-$B$15)+$B$13-$B$14)-$B$58*$B$16)/($B$18-$B$58)/(1+$B$18)^5</f>
        <v>1200</v>
      </c>
    </row>
    <row r="62" customFormat="false" ht="15" hidden="false" customHeight="false" outlineLevel="0" collapsed="false">
      <c r="A62" s="9" t="s">
        <v>295</v>
      </c>
      <c r="B62" s="9" t="str">
        <f aca="false">IF(B58&gt;=B18,"Required growth reaches or exceeds WACC: not attainable by growth alone",IF(B55&gt;0.6,"Required margin is implausibly high","Required margin and growth are mathematically attainable; judge plausibility against the reported ~22% and Nippon Paint's ~26% 2026 projection"))</f>
        <v>Required margin and growth are mathematically attainable; judge plausibility against the reported ~22% and Nippon Paint's ~26% 2026 projection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58"/>
    <col collapsed="false" customWidth="true" hidden="false" outlineLevel="0" max="10" min="2" style="0" width="13"/>
  </cols>
  <sheetData>
    <row r="1" customFormat="false" ht="17.35" hidden="false" customHeight="false" outlineLevel="0" collapsed="false">
      <c r="A1" s="1" t="s">
        <v>296</v>
      </c>
    </row>
    <row r="2" customFormat="false" ht="15" hidden="false" customHeight="false" outlineLevel="0" collapsed="false">
      <c r="A2" s="2" t="s">
        <v>297</v>
      </c>
    </row>
    <row r="4" customFormat="false" ht="15" hidden="false" customHeight="false" outlineLevel="0" collapsed="false">
      <c r="A4" s="5" t="s">
        <v>298</v>
      </c>
      <c r="B4" s="6" t="s">
        <v>299</v>
      </c>
      <c r="C4" s="6" t="s">
        <v>300</v>
      </c>
      <c r="D4" s="6" t="s">
        <v>196</v>
      </c>
    </row>
    <row r="5" customFormat="false" ht="15" hidden="false" customHeight="false" outlineLevel="0" collapsed="false">
      <c r="A5" s="27" t="s">
        <v>301</v>
      </c>
      <c r="B5" s="31" t="n">
        <f aca="false">$B$35</f>
        <v>712.653406213068</v>
      </c>
      <c r="C5" s="31" t="n">
        <f aca="false">$B$61</f>
        <v>853.744956789202</v>
      </c>
      <c r="D5" s="31" t="n">
        <f aca="false">$B$87</f>
        <v>586.198421109987</v>
      </c>
    </row>
    <row r="6" customFormat="false" ht="15" hidden="false" customHeight="false" outlineLevel="0" collapsed="false">
      <c r="A6" s="9" t="s">
        <v>302</v>
      </c>
      <c r="B6" s="19" t="n">
        <f aca="false">$B$37</f>
        <v>618.105902335867</v>
      </c>
      <c r="C6" s="19" t="n">
        <f aca="false">$B$63</f>
        <v>741.287696792603</v>
      </c>
      <c r="D6" s="19" t="n">
        <f aca="false">$B$89</f>
        <v>509.658320109114</v>
      </c>
    </row>
    <row r="7" customFormat="false" ht="15" hidden="false" customHeight="false" outlineLevel="0" collapsed="false">
      <c r="A7" s="9" t="s">
        <v>303</v>
      </c>
      <c r="B7" s="19" t="n">
        <f aca="false">$B$38</f>
        <v>845.996667479824</v>
      </c>
      <c r="C7" s="19" t="n">
        <f aca="false">$B$64</f>
        <v>1012.33076501811</v>
      </c>
      <c r="D7" s="19" t="n">
        <f aca="false">$B$90</f>
        <v>694.097258352378</v>
      </c>
    </row>
    <row r="8" customFormat="false" ht="15" hidden="false" customHeight="false" outlineLevel="0" collapsed="false">
      <c r="A8" s="9" t="s">
        <v>304</v>
      </c>
      <c r="B8" s="18" t="n">
        <f aca="false">$B$36</f>
        <v>0.780823688561554</v>
      </c>
      <c r="C8" s="18" t="n">
        <f aca="false">$B$62</f>
        <v>0.773071133905557</v>
      </c>
      <c r="D8" s="18" t="n">
        <f aca="false">$B$88</f>
        <v>0.769773123369036</v>
      </c>
    </row>
    <row r="9" customFormat="false" ht="15" hidden="false" customHeight="false" outlineLevel="0" collapsed="false">
      <c r="A9" s="9" t="s">
        <v>305</v>
      </c>
      <c r="B9" s="19" t="n">
        <f aca="false">$B$17</f>
        <v>271.6</v>
      </c>
      <c r="C9" s="19" t="n">
        <f aca="false">$B$43</f>
        <v>293.333333333333</v>
      </c>
      <c r="D9" s="19" t="n">
        <f aca="false">$B$69</f>
        <v>266.426666666667</v>
      </c>
    </row>
    <row r="10" customFormat="false" ht="15" hidden="false" customHeight="false" outlineLevel="0" collapsed="false">
      <c r="A10" s="9" t="s">
        <v>306</v>
      </c>
      <c r="B10" s="19" t="n">
        <f aca="false">$B$19</f>
        <v>60.6666666666667</v>
      </c>
      <c r="C10" s="19" t="n">
        <f aca="false">$B$45</f>
        <v>76.2666666666667</v>
      </c>
      <c r="D10" s="19" t="n">
        <f aca="false">$B$71</f>
        <v>56.8468444444445</v>
      </c>
    </row>
    <row r="11" customFormat="false" ht="15" hidden="false" customHeight="false" outlineLevel="0" collapsed="false">
      <c r="A11" s="9" t="s">
        <v>307</v>
      </c>
      <c r="B11" s="24" t="n">
        <f aca="false">$B$31</f>
        <v>0.223367697594502</v>
      </c>
      <c r="C11" s="24" t="n">
        <f aca="false">$B$57</f>
        <v>0.241683848797251</v>
      </c>
      <c r="D11" s="24" t="n">
        <f aca="false">$B$83</f>
        <v>0.203367697594502</v>
      </c>
    </row>
    <row r="12" customFormat="false" ht="15" hidden="false" customHeight="false" outlineLevel="0" collapsed="false">
      <c r="A12" s="27" t="s">
        <v>308</v>
      </c>
      <c r="B12" s="44" t="n">
        <f aca="false">DCF_Valuation!B24-CHOOSE(Assumptions!$B$35,B5,C5,D5)</f>
        <v>0</v>
      </c>
      <c r="C12" s="9" t="str">
        <f aca="false">IF(ABS(B12)&lt;0.000001,"OK","CHECK FAILED")</f>
        <v>OK</v>
      </c>
    </row>
    <row r="14" customFormat="false" ht="15" hidden="false" customHeight="false" outlineLevel="0" collapsed="false">
      <c r="A14" s="7" t="s">
        <v>309</v>
      </c>
      <c r="B14" s="8"/>
      <c r="C14" s="8"/>
      <c r="D14" s="8"/>
      <c r="E14" s="8"/>
      <c r="F14" s="8"/>
      <c r="G14" s="8"/>
      <c r="H14" s="8"/>
    </row>
    <row r="15" customFormat="false" ht="15" hidden="false" customHeight="false" outlineLevel="0" collapsed="false">
      <c r="A15" s="5" t="s">
        <v>225</v>
      </c>
      <c r="B15" s="6" t="s">
        <v>186</v>
      </c>
      <c r="C15" s="6" t="s">
        <v>187</v>
      </c>
      <c r="D15" s="6" t="s">
        <v>188</v>
      </c>
      <c r="E15" s="6" t="s">
        <v>189</v>
      </c>
      <c r="F15" s="6" t="s">
        <v>190</v>
      </c>
    </row>
    <row r="16" customFormat="false" ht="15" hidden="false" customHeight="false" outlineLevel="0" collapsed="false">
      <c r="A16" s="9" t="s">
        <v>191</v>
      </c>
      <c r="B16" s="29" t="n">
        <f aca="false">Case_Drivers!$B$6</f>
        <v>0.05</v>
      </c>
      <c r="C16" s="29" t="n">
        <f aca="false">Case_Drivers!$C$6</f>
        <v>0.05</v>
      </c>
      <c r="D16" s="29" t="n">
        <f aca="false">Case_Drivers!$D$6</f>
        <v>0.05</v>
      </c>
      <c r="E16" s="29" t="n">
        <f aca="false">Case_Drivers!$E$6</f>
        <v>0.05</v>
      </c>
      <c r="F16" s="29" t="n">
        <f aca="false">Case_Drivers!$F$6</f>
        <v>0.05</v>
      </c>
    </row>
    <row r="17" customFormat="false" ht="15" hidden="false" customHeight="false" outlineLevel="0" collapsed="false">
      <c r="A17" s="27" t="s">
        <v>226</v>
      </c>
      <c r="B17" s="31" t="n">
        <f aca="false">Assumptions!$B$26*(1+B16)</f>
        <v>271.6</v>
      </c>
      <c r="C17" s="31" t="n">
        <f aca="false">B17*(1+C16)</f>
        <v>285.18</v>
      </c>
      <c r="D17" s="31" t="n">
        <f aca="false">C17*(1+D16)</f>
        <v>299.439</v>
      </c>
      <c r="E17" s="31" t="n">
        <f aca="false">D17*(1+E16)</f>
        <v>314.41095</v>
      </c>
      <c r="F17" s="31" t="n">
        <f aca="false">E17*(1+F16)</f>
        <v>330.1314975</v>
      </c>
    </row>
    <row r="18" customFormat="false" ht="15" hidden="false" customHeight="false" outlineLevel="0" collapsed="false">
      <c r="A18" s="9" t="s">
        <v>200</v>
      </c>
      <c r="B18" s="29" t="n">
        <f aca="false">Case_Drivers!$B$12</f>
        <v>0.223367697594502</v>
      </c>
      <c r="C18" s="29" t="n">
        <f aca="false">Case_Drivers!$C$12</f>
        <v>0.223367697594502</v>
      </c>
      <c r="D18" s="29" t="n">
        <f aca="false">Case_Drivers!$D$12</f>
        <v>0.223367697594502</v>
      </c>
      <c r="E18" s="29" t="n">
        <f aca="false">Case_Drivers!$E$12</f>
        <v>0.223367697594502</v>
      </c>
      <c r="F18" s="29" t="n">
        <f aca="false">Case_Drivers!$F$12</f>
        <v>0.223367697594502</v>
      </c>
    </row>
    <row r="19" customFormat="false" ht="15" hidden="false" customHeight="false" outlineLevel="0" collapsed="false">
      <c r="A19" s="27" t="s">
        <v>244</v>
      </c>
      <c r="B19" s="31" t="n">
        <f aca="false">B17*B18</f>
        <v>60.6666666666667</v>
      </c>
      <c r="C19" s="31" t="n">
        <f aca="false">C17*C18</f>
        <v>63.7</v>
      </c>
      <c r="D19" s="31" t="n">
        <f aca="false">D17*D18</f>
        <v>66.885</v>
      </c>
      <c r="E19" s="31" t="n">
        <f aca="false">E17*E18</f>
        <v>70.22925</v>
      </c>
      <c r="F19" s="31" t="n">
        <f aca="false">F17*F18</f>
        <v>73.7407125</v>
      </c>
    </row>
    <row r="20" customFormat="false" ht="15" hidden="false" customHeight="false" outlineLevel="0" collapsed="false">
      <c r="A20" s="9" t="s">
        <v>239</v>
      </c>
      <c r="B20" s="19" t="n">
        <f aca="false">B17*Assumptions!$B$100</f>
        <v>6.79</v>
      </c>
      <c r="C20" s="19" t="n">
        <f aca="false">C17*Assumptions!$B$100</f>
        <v>7.1295</v>
      </c>
      <c r="D20" s="19" t="n">
        <f aca="false">D17*Assumptions!$B$100</f>
        <v>7.485975</v>
      </c>
      <c r="E20" s="19" t="n">
        <f aca="false">E17*Assumptions!$B$100</f>
        <v>7.86027375</v>
      </c>
      <c r="F20" s="19" t="n">
        <f aca="false">F17*Assumptions!$B$100</f>
        <v>8.2532874375</v>
      </c>
    </row>
    <row r="21" customFormat="false" ht="15" hidden="false" customHeight="false" outlineLevel="0" collapsed="false">
      <c r="A21" s="9" t="s">
        <v>251</v>
      </c>
      <c r="B21" s="19" t="n">
        <f aca="false">B19-B20</f>
        <v>53.8766666666667</v>
      </c>
      <c r="C21" s="19" t="n">
        <f aca="false">C19-C20</f>
        <v>56.5705</v>
      </c>
      <c r="D21" s="19" t="n">
        <f aca="false">D19-D20</f>
        <v>59.399025</v>
      </c>
      <c r="E21" s="19" t="n">
        <f aca="false">E19-E20</f>
        <v>62.36897625</v>
      </c>
      <c r="F21" s="19" t="n">
        <f aca="false">F19-F20</f>
        <v>65.4874250625</v>
      </c>
    </row>
    <row r="22" customFormat="false" ht="15" hidden="false" customHeight="false" outlineLevel="0" collapsed="false">
      <c r="A22" s="9" t="s">
        <v>310</v>
      </c>
      <c r="B22" s="19" t="n">
        <f aca="false">MAX(B21,0)*Assumptions!$B$66</f>
        <v>11.8744173333333</v>
      </c>
      <c r="C22" s="19" t="n">
        <f aca="false">MAX(C21,0)*Assumptions!$B$66</f>
        <v>12.4681382</v>
      </c>
      <c r="D22" s="19" t="n">
        <f aca="false">MAX(D21,0)*Assumptions!$B$66</f>
        <v>13.09154511</v>
      </c>
      <c r="E22" s="19" t="n">
        <f aca="false">MAX(E21,0)*Assumptions!$B$66</f>
        <v>13.7461223655</v>
      </c>
      <c r="F22" s="19" t="n">
        <f aca="false">MAX(F21,0)*Assumptions!$B$66</f>
        <v>14.433428483775</v>
      </c>
    </row>
    <row r="23" customFormat="false" ht="15" hidden="false" customHeight="false" outlineLevel="0" collapsed="false">
      <c r="A23" s="9" t="s">
        <v>237</v>
      </c>
      <c r="B23" s="19" t="n">
        <f aca="false">B17*Assumptions!$B$101</f>
        <v>9.506</v>
      </c>
      <c r="C23" s="19" t="n">
        <f aca="false">C17*Assumptions!$B$102</f>
        <v>9.9813</v>
      </c>
      <c r="D23" s="19" t="n">
        <f aca="false">D17*Assumptions!$B$103</f>
        <v>8.98317</v>
      </c>
      <c r="E23" s="19" t="n">
        <f aca="false">E17*Assumptions!$B$104</f>
        <v>9.4323285</v>
      </c>
      <c r="F23" s="19" t="n">
        <f aca="false">F17*Assumptions!$B$105</f>
        <v>9.903944925</v>
      </c>
    </row>
    <row r="24" customFormat="false" ht="15" hidden="false" customHeight="false" outlineLevel="0" collapsed="false">
      <c r="A24" s="9" t="s">
        <v>311</v>
      </c>
      <c r="B24" s="19" t="n">
        <f aca="false">(B17-Assumptions!$B$26)*Working_Capital!$B$16</f>
        <v>1.88684931506849</v>
      </c>
      <c r="C24" s="19" t="n">
        <f aca="false">(C17-B17)*Working_Capital!$B$16</f>
        <v>1.98119178082192</v>
      </c>
      <c r="D24" s="19" t="n">
        <f aca="false">(D17-C17)*Working_Capital!$B$16</f>
        <v>2.08025136986302</v>
      </c>
      <c r="E24" s="19" t="n">
        <f aca="false">(E17-D17)*Working_Capital!$B$16</f>
        <v>2.18426393835616</v>
      </c>
      <c r="F24" s="19" t="n">
        <f aca="false">(F17-E17)*Working_Capital!$B$16</f>
        <v>2.29347713527397</v>
      </c>
    </row>
    <row r="25" customFormat="false" ht="15" hidden="false" customHeight="false" outlineLevel="0" collapsed="false">
      <c r="A25" s="9" t="s">
        <v>312</v>
      </c>
      <c r="B25" s="30" t="n">
        <f aca="false">Assumptions!$B$120</f>
        <v>8</v>
      </c>
      <c r="C25" s="15" t="n">
        <v>0</v>
      </c>
      <c r="D25" s="15" t="n">
        <v>0</v>
      </c>
      <c r="E25" s="15" t="n">
        <v>0</v>
      </c>
      <c r="F25" s="15" t="n">
        <v>0</v>
      </c>
    </row>
    <row r="26" customFormat="false" ht="15" hidden="false" customHeight="false" outlineLevel="0" collapsed="false">
      <c r="A26" s="27" t="s">
        <v>313</v>
      </c>
      <c r="B26" s="31" t="n">
        <f aca="false">B19-B22-B23-B24-B25</f>
        <v>29.3994000182648</v>
      </c>
      <c r="C26" s="31" t="n">
        <f aca="false">C19-C22-C23-C24-C25</f>
        <v>39.2693700191781</v>
      </c>
      <c r="D26" s="31" t="n">
        <f aca="false">D19-D22-D23-D24-D25</f>
        <v>42.730033520137</v>
      </c>
      <c r="E26" s="31" t="n">
        <f aca="false">E19-E22-E23-E24-E25</f>
        <v>44.8665351961439</v>
      </c>
      <c r="F26" s="31" t="n">
        <f aca="false">F19-F22-F23-F24-F25</f>
        <v>47.109861955951</v>
      </c>
    </row>
    <row r="27" customFormat="false" ht="15" hidden="false" customHeight="false" outlineLevel="0" collapsed="false">
      <c r="A27" s="9" t="s">
        <v>314</v>
      </c>
      <c r="B27" s="34" t="n">
        <f aca="false">1/(1+Assumptions!$B$92)^1</f>
        <v>0.918932171410991</v>
      </c>
      <c r="C27" s="34" t="n">
        <f aca="false">1/(1+Assumptions!$B$92)^2</f>
        <v>0.844436335654119</v>
      </c>
      <c r="D27" s="34" t="n">
        <f aca="false">1/(1+Assumptions!$B$92)^3</f>
        <v>0.77597971554098</v>
      </c>
      <c r="E27" s="34" t="n">
        <f aca="false">1/(1+Assumptions!$B$92)^4</f>
        <v>0.713072724972956</v>
      </c>
      <c r="F27" s="34" t="n">
        <f aca="false">1/(1+Assumptions!$B$92)^5</f>
        <v>0.655265467533351</v>
      </c>
    </row>
    <row r="28" customFormat="false" ht="15" hidden="false" customHeight="false" outlineLevel="0" collapsed="false">
      <c r="A28" s="9" t="s">
        <v>260</v>
      </c>
      <c r="B28" s="19" t="n">
        <f aca="false">B26*B27</f>
        <v>27.0160544969644</v>
      </c>
      <c r="C28" s="19" t="n">
        <f aca="false">C26*C27</f>
        <v>33.1604829224405</v>
      </c>
      <c r="D28" s="19" t="n">
        <f aca="false">D26*D27</f>
        <v>33.1576392560125</v>
      </c>
      <c r="E28" s="19" t="n">
        <f aca="false">E26*E27</f>
        <v>31.9931025124093</v>
      </c>
      <c r="F28" s="19" t="n">
        <f aca="false">F26*F27</f>
        <v>30.8694657199979</v>
      </c>
    </row>
    <row r="30" customFormat="false" ht="15" hidden="false" customHeight="false" outlineLevel="0" collapsed="false">
      <c r="A30" s="9" t="s">
        <v>315</v>
      </c>
      <c r="B30" s="19" t="n">
        <f aca="false">SUM(B28:F28)</f>
        <v>156.196744907825</v>
      </c>
    </row>
    <row r="31" customFormat="false" ht="15" hidden="false" customHeight="false" outlineLevel="0" collapsed="false">
      <c r="A31" s="9" t="s">
        <v>316</v>
      </c>
      <c r="B31" s="24" t="n">
        <f aca="false">F18</f>
        <v>0.223367697594502</v>
      </c>
    </row>
    <row r="32" customFormat="false" ht="15" hidden="false" customHeight="false" outlineLevel="0" collapsed="false">
      <c r="A32" s="9" t="s">
        <v>317</v>
      </c>
      <c r="B32" s="34" t="n">
        <f aca="false">(B31-Assumptions!$B$100)*(1-Assumptions!$B$66)+Assumptions!$B$100-Assumptions!$B$106</f>
        <v>0.149647457044674</v>
      </c>
    </row>
    <row r="33" customFormat="false" ht="15" hidden="false" customHeight="false" outlineLevel="0" collapsed="false">
      <c r="A33" s="9" t="s">
        <v>318</v>
      </c>
      <c r="B33" s="19" t="n">
        <f aca="false">F17*((1+Assumptions!$B$93)*B32-Assumptions!$B$93*Working_Capital!$B$16)/(Assumptions!$B$92-Assumptions!$B$93)</f>
        <v>849.207975814659</v>
      </c>
    </row>
    <row r="34" customFormat="false" ht="15" hidden="false" customHeight="false" outlineLevel="0" collapsed="false">
      <c r="A34" s="9" t="s">
        <v>271</v>
      </c>
      <c r="B34" s="19" t="n">
        <f aca="false">B33*F27</f>
        <v>556.456661305243</v>
      </c>
    </row>
    <row r="35" customFormat="false" ht="15" hidden="false" customHeight="false" outlineLevel="0" collapsed="false">
      <c r="A35" s="27" t="s">
        <v>273</v>
      </c>
      <c r="B35" s="36" t="n">
        <f aca="false">B30+B34</f>
        <v>712.653406213068</v>
      </c>
    </row>
    <row r="36" customFormat="false" ht="15" hidden="false" customHeight="false" outlineLevel="0" collapsed="false">
      <c r="A36" s="9" t="s">
        <v>319</v>
      </c>
      <c r="B36" s="18" t="n">
        <f aca="false">B34/B35</f>
        <v>0.780823688561554</v>
      </c>
    </row>
    <row r="37" customFormat="false" ht="15" hidden="false" customHeight="false" outlineLevel="0" collapsed="false">
      <c r="A37" s="9" t="s">
        <v>320</v>
      </c>
      <c r="B37" s="19" t="n">
        <f aca="false">B26/(1+(Assumptions!$B$92+Assumptions!$B$94))^1+C26/(1+(Assumptions!$B$92+Assumptions!$B$94))^2+D26/(1+(Assumptions!$B$92+Assumptions!$B$94))^3+E26/(1+(Assumptions!$B$92+Assumptions!$B$94))^4+F26/(1+(Assumptions!$B$92+Assumptions!$B$94))^5+F17*((1+(Assumptions!$B$93-Assumptions!$B$95))*B32-(Assumptions!$B$93-Assumptions!$B$95)*Working_Capital!$B$16)/((Assumptions!$B$92+Assumptions!$B$94)-(Assumptions!$B$93-Assumptions!$B$95))/(1+(Assumptions!$B$92+Assumptions!$B$94))^5</f>
        <v>618.105902335867</v>
      </c>
    </row>
    <row r="38" customFormat="false" ht="15" hidden="false" customHeight="false" outlineLevel="0" collapsed="false">
      <c r="A38" s="9" t="s">
        <v>321</v>
      </c>
      <c r="B38" s="19" t="n">
        <f aca="false">B26/(1+(Assumptions!$B$92-Assumptions!$B$94))^1+C26/(1+(Assumptions!$B$92-Assumptions!$B$94))^2+D26/(1+(Assumptions!$B$92-Assumptions!$B$94))^3+E26/(1+(Assumptions!$B$92-Assumptions!$B$94))^4+F26/(1+(Assumptions!$B$92-Assumptions!$B$94))^5+F17*((1+(Assumptions!$B$93+Assumptions!$B$95))*B32-(Assumptions!$B$93+Assumptions!$B$95)*Working_Capital!$B$16)/((Assumptions!$B$92-Assumptions!$B$94)-(Assumptions!$B$93+Assumptions!$B$95))/(1+(Assumptions!$B$92-Assumptions!$B$94))^5</f>
        <v>845.996667479824</v>
      </c>
    </row>
    <row r="39" customFormat="false" ht="15" hidden="false" customHeight="false" outlineLevel="0" collapsed="false">
      <c r="A39" s="9" t="s">
        <v>322</v>
      </c>
      <c r="B39" s="19" t="n">
        <f aca="false">(Assumptions!$B$10-B30)/F27</f>
        <v>1592.94714403525</v>
      </c>
    </row>
    <row r="40" customFormat="false" ht="15" hidden="false" customHeight="false" outlineLevel="0" collapsed="false">
      <c r="A40" s="7" t="s">
        <v>323</v>
      </c>
      <c r="B40" s="45" t="n">
        <f aca="false">(((B39*(Assumptions!$B$92-Assumptions!$B$93)/F17+Assumptions!$B$93*Working_Capital!$B$16)/(1+Assumptions!$B$93))-Assumptions!$B$100+Assumptions!$B$106)/(1-Assumptions!$B$66)+Assumptions!$B$100</f>
        <v>0.386708187555486</v>
      </c>
      <c r="C40" s="8"/>
      <c r="D40" s="8"/>
      <c r="E40" s="8"/>
      <c r="F40" s="8"/>
      <c r="G40" s="8"/>
      <c r="H40" s="8"/>
    </row>
    <row r="41" customFormat="false" ht="15" hidden="false" customHeight="false" outlineLevel="0" collapsed="false">
      <c r="A41" s="5" t="s">
        <v>225</v>
      </c>
      <c r="B41" s="46" t="s">
        <v>186</v>
      </c>
      <c r="C41" s="6" t="s">
        <v>187</v>
      </c>
      <c r="D41" s="6" t="s">
        <v>188</v>
      </c>
      <c r="E41" s="6" t="s">
        <v>189</v>
      </c>
      <c r="F41" s="6" t="s">
        <v>190</v>
      </c>
    </row>
    <row r="42" customFormat="false" ht="15" hidden="false" customHeight="false" outlineLevel="0" collapsed="false">
      <c r="A42" s="9" t="s">
        <v>191</v>
      </c>
      <c r="B42" s="29" t="n">
        <f aca="false">Case_Drivers!$B$7</f>
        <v>0.134020618556701</v>
      </c>
      <c r="C42" s="29" t="n">
        <f aca="false">Case_Drivers!$C$7</f>
        <v>0.05</v>
      </c>
      <c r="D42" s="29" t="n">
        <f aca="false">Case_Drivers!$D$7</f>
        <v>0.05</v>
      </c>
      <c r="E42" s="29" t="n">
        <f aca="false">Case_Drivers!$E$7</f>
        <v>0.05</v>
      </c>
      <c r="F42" s="29" t="n">
        <f aca="false">Case_Drivers!$F$7</f>
        <v>0.05</v>
      </c>
    </row>
    <row r="43" customFormat="false" ht="15" hidden="false" customHeight="false" outlineLevel="0" collapsed="false">
      <c r="A43" s="27" t="s">
        <v>226</v>
      </c>
      <c r="B43" s="31" t="n">
        <f aca="false">Assumptions!$B$26*(1+B42)</f>
        <v>293.333333333333</v>
      </c>
      <c r="C43" s="31" t="n">
        <f aca="false">B43*(1+C42)</f>
        <v>308</v>
      </c>
      <c r="D43" s="31" t="n">
        <f aca="false">C43*(1+D42)</f>
        <v>323.4</v>
      </c>
      <c r="E43" s="31" t="n">
        <f aca="false">D43*(1+E42)</f>
        <v>339.57</v>
      </c>
      <c r="F43" s="31" t="n">
        <f aca="false">E43*(1+F42)</f>
        <v>356.5485</v>
      </c>
    </row>
    <row r="44" customFormat="false" ht="15" hidden="false" customHeight="false" outlineLevel="0" collapsed="false">
      <c r="A44" s="9" t="s">
        <v>200</v>
      </c>
      <c r="B44" s="29" t="n">
        <f aca="false">Case_Drivers!$B$13</f>
        <v>0.26</v>
      </c>
      <c r="C44" s="29" t="n">
        <f aca="false">Case_Drivers!$C$13</f>
        <v>0.255420962199313</v>
      </c>
      <c r="D44" s="29" t="n">
        <f aca="false">Case_Drivers!$D$13</f>
        <v>0.250841924398625</v>
      </c>
      <c r="E44" s="29" t="n">
        <f aca="false">Case_Drivers!$E$13</f>
        <v>0.246262886597938</v>
      </c>
      <c r="F44" s="29" t="n">
        <f aca="false">Case_Drivers!$F$13</f>
        <v>0.241683848797251</v>
      </c>
    </row>
    <row r="45" customFormat="false" ht="15" hidden="false" customHeight="false" outlineLevel="0" collapsed="false">
      <c r="A45" s="27" t="s">
        <v>244</v>
      </c>
      <c r="B45" s="31" t="n">
        <f aca="false">B43*B44</f>
        <v>76.2666666666667</v>
      </c>
      <c r="C45" s="31" t="n">
        <f aca="false">C43*C44</f>
        <v>78.6696563573883</v>
      </c>
      <c r="D45" s="31" t="n">
        <f aca="false">D43*D44</f>
        <v>81.1222783505155</v>
      </c>
      <c r="E45" s="31" t="n">
        <f aca="false">E43*E44</f>
        <v>83.6234884020619</v>
      </c>
      <c r="F45" s="31" t="n">
        <f aca="false">F43*F44</f>
        <v>86.1720137628866</v>
      </c>
    </row>
    <row r="46" customFormat="false" ht="15" hidden="false" customHeight="false" outlineLevel="0" collapsed="false">
      <c r="A46" s="9" t="s">
        <v>239</v>
      </c>
      <c r="B46" s="19" t="n">
        <f aca="false">B43*Assumptions!$B$100</f>
        <v>7.33333333333333</v>
      </c>
      <c r="C46" s="19" t="n">
        <f aca="false">C43*Assumptions!$B$100</f>
        <v>7.7</v>
      </c>
      <c r="D46" s="19" t="n">
        <f aca="false">D43*Assumptions!$B$100</f>
        <v>8.085</v>
      </c>
      <c r="E46" s="19" t="n">
        <f aca="false">E43*Assumptions!$B$100</f>
        <v>8.48925</v>
      </c>
      <c r="F46" s="19" t="n">
        <f aca="false">F43*Assumptions!$B$100</f>
        <v>8.9137125</v>
      </c>
    </row>
    <row r="47" customFormat="false" ht="15" hidden="false" customHeight="false" outlineLevel="0" collapsed="false">
      <c r="A47" s="9" t="s">
        <v>251</v>
      </c>
      <c r="B47" s="19" t="n">
        <f aca="false">B45-B46</f>
        <v>68.9333333333333</v>
      </c>
      <c r="C47" s="19" t="n">
        <f aca="false">C45-C46</f>
        <v>70.9696563573883</v>
      </c>
      <c r="D47" s="19" t="n">
        <f aca="false">D45-D46</f>
        <v>73.0372783505155</v>
      </c>
      <c r="E47" s="19" t="n">
        <f aca="false">E45-E46</f>
        <v>75.1342384020619</v>
      </c>
      <c r="F47" s="19" t="n">
        <f aca="false">F45-F46</f>
        <v>77.2583012628866</v>
      </c>
    </row>
    <row r="48" customFormat="false" ht="15" hidden="false" customHeight="false" outlineLevel="0" collapsed="false">
      <c r="A48" s="9" t="s">
        <v>310</v>
      </c>
      <c r="B48" s="19" t="n">
        <f aca="false">MAX(B47,0)*Assumptions!$B$66</f>
        <v>15.1929066666667</v>
      </c>
      <c r="C48" s="19" t="n">
        <f aca="false">MAX(C47,0)*Assumptions!$B$66</f>
        <v>15.6417122611684</v>
      </c>
      <c r="D48" s="19" t="n">
        <f aca="false">MAX(D47,0)*Assumptions!$B$66</f>
        <v>16.0974161484536</v>
      </c>
      <c r="E48" s="19" t="n">
        <f aca="false">MAX(E47,0)*Assumptions!$B$66</f>
        <v>16.5595861438144</v>
      </c>
      <c r="F48" s="19" t="n">
        <f aca="false">MAX(F47,0)*Assumptions!$B$66</f>
        <v>17.0277295983402</v>
      </c>
    </row>
    <row r="49" customFormat="false" ht="15" hidden="false" customHeight="false" outlineLevel="0" collapsed="false">
      <c r="A49" s="9" t="s">
        <v>237</v>
      </c>
      <c r="B49" s="19" t="n">
        <f aca="false">B43*Assumptions!$B$101</f>
        <v>10.2666666666667</v>
      </c>
      <c r="C49" s="19" t="n">
        <f aca="false">C43*Assumptions!$B$102</f>
        <v>10.78</v>
      </c>
      <c r="D49" s="19" t="n">
        <f aca="false">D43*Assumptions!$B$103</f>
        <v>9.702</v>
      </c>
      <c r="E49" s="19" t="n">
        <f aca="false">E43*Assumptions!$B$104</f>
        <v>10.1871</v>
      </c>
      <c r="F49" s="19" t="n">
        <f aca="false">F43*Assumptions!$B$105</f>
        <v>10.696455</v>
      </c>
    </row>
    <row r="50" customFormat="false" ht="15" hidden="false" customHeight="false" outlineLevel="0" collapsed="false">
      <c r="A50" s="9" t="s">
        <v>311</v>
      </c>
      <c r="B50" s="19" t="n">
        <f aca="false">(B43-Assumptions!$B$26)*Working_Capital!$B$16</f>
        <v>5.05753424657534</v>
      </c>
      <c r="C50" s="19" t="n">
        <f aca="false">(C43-B43)*Working_Capital!$B$16</f>
        <v>2.13972602739726</v>
      </c>
      <c r="D50" s="19" t="n">
        <f aca="false">(D43-C43)*Working_Capital!$B$16</f>
        <v>2.24671232876713</v>
      </c>
      <c r="E50" s="19" t="n">
        <f aca="false">(E43-D43)*Working_Capital!$B$16</f>
        <v>2.35904794520548</v>
      </c>
      <c r="F50" s="19" t="n">
        <f aca="false">(F43-E43)*Working_Capital!$B$16</f>
        <v>2.47700034246575</v>
      </c>
    </row>
    <row r="51" customFormat="false" ht="15" hidden="false" customHeight="false" outlineLevel="0" collapsed="false">
      <c r="A51" s="9" t="s">
        <v>312</v>
      </c>
      <c r="B51" s="30" t="n">
        <f aca="false">Assumptions!$B$120</f>
        <v>8</v>
      </c>
      <c r="C51" s="15" t="n">
        <v>0</v>
      </c>
      <c r="D51" s="15" t="n">
        <v>0</v>
      </c>
      <c r="E51" s="15" t="n">
        <v>0</v>
      </c>
      <c r="F51" s="15" t="n">
        <v>0</v>
      </c>
    </row>
    <row r="52" customFormat="false" ht="15" hidden="false" customHeight="false" outlineLevel="0" collapsed="false">
      <c r="A52" s="27" t="s">
        <v>313</v>
      </c>
      <c r="B52" s="31" t="n">
        <f aca="false">B45-B48-B49-B50-B51</f>
        <v>37.749559086758</v>
      </c>
      <c r="C52" s="31" t="n">
        <f aca="false">C45-C48-C49-C50-C51</f>
        <v>50.1082180688227</v>
      </c>
      <c r="D52" s="31" t="n">
        <f aca="false">D45-D48-D49-D50-D51</f>
        <v>53.0761498732947</v>
      </c>
      <c r="E52" s="31" t="n">
        <f aca="false">E45-E48-E49-E50-E51</f>
        <v>54.5177543130419</v>
      </c>
      <c r="F52" s="31" t="n">
        <f aca="false">F45-F48-F49-F50-F51</f>
        <v>55.9708288220807</v>
      </c>
    </row>
    <row r="53" customFormat="false" ht="15" hidden="false" customHeight="false" outlineLevel="0" collapsed="false">
      <c r="A53" s="9" t="s">
        <v>314</v>
      </c>
      <c r="B53" s="34" t="n">
        <f aca="false">1/(1+Assumptions!$B$92)^1</f>
        <v>0.918932171410991</v>
      </c>
      <c r="C53" s="34" t="n">
        <f aca="false">1/(1+Assumptions!$B$92)^2</f>
        <v>0.844436335654119</v>
      </c>
      <c r="D53" s="34" t="n">
        <f aca="false">1/(1+Assumptions!$B$92)^3</f>
        <v>0.77597971554098</v>
      </c>
      <c r="E53" s="34" t="n">
        <f aca="false">1/(1+Assumptions!$B$92)^4</f>
        <v>0.713072724972956</v>
      </c>
      <c r="F53" s="34" t="n">
        <f aca="false">1/(1+Assumptions!$B$92)^5</f>
        <v>0.655265467533351</v>
      </c>
    </row>
    <row r="54" customFormat="false" ht="15" hidden="false" customHeight="false" outlineLevel="0" collapsed="false">
      <c r="A54" s="9" t="s">
        <v>260</v>
      </c>
      <c r="B54" s="19" t="n">
        <f aca="false">B52*B53</f>
        <v>34.689284301402</v>
      </c>
      <c r="C54" s="19" t="n">
        <f aca="false">C52*C53</f>
        <v>42.3132000521941</v>
      </c>
      <c r="D54" s="19" t="n">
        <f aca="false">D52*D53</f>
        <v>41.1860156806897</v>
      </c>
      <c r="E54" s="19" t="n">
        <f aca="false">E52*E53</f>
        <v>38.8751236274069</v>
      </c>
      <c r="F54" s="19" t="n">
        <f aca="false">F52*F53</f>
        <v>36.6757513163298</v>
      </c>
    </row>
    <row r="56" customFormat="false" ht="15" hidden="false" customHeight="false" outlineLevel="0" collapsed="false">
      <c r="A56" s="9" t="s">
        <v>315</v>
      </c>
      <c r="B56" s="19" t="n">
        <f aca="false">SUM(B54:F54)</f>
        <v>193.739374978023</v>
      </c>
    </row>
    <row r="57" customFormat="false" ht="15" hidden="false" customHeight="false" outlineLevel="0" collapsed="false">
      <c r="A57" s="9" t="s">
        <v>316</v>
      </c>
      <c r="B57" s="24" t="n">
        <f aca="false">F44</f>
        <v>0.241683848797251</v>
      </c>
    </row>
    <row r="58" customFormat="false" ht="15" hidden="false" customHeight="false" outlineLevel="0" collapsed="false">
      <c r="A58" s="9" t="s">
        <v>317</v>
      </c>
      <c r="B58" s="34" t="n">
        <f aca="false">(B57-Assumptions!$B$100)*(1-Assumptions!$B$66)+Assumptions!$B$100-Assumptions!$B$106</f>
        <v>0.163926728522337</v>
      </c>
    </row>
    <row r="59" customFormat="false" ht="15" hidden="false" customHeight="false" outlineLevel="0" collapsed="false">
      <c r="A59" s="9" t="s">
        <v>318</v>
      </c>
      <c r="B59" s="19" t="n">
        <f aca="false">F43*((1+Assumptions!$B$93)*B58-Assumptions!$B$93*Working_Capital!$B$16)/(Assumptions!$B$92-Assumptions!$B$93)</f>
        <v>1007.23388384203</v>
      </c>
    </row>
    <row r="60" customFormat="false" ht="15" hidden="false" customHeight="false" outlineLevel="0" collapsed="false">
      <c r="A60" s="9" t="s">
        <v>271</v>
      </c>
      <c r="B60" s="19" t="n">
        <f aca="false">B59*F53</f>
        <v>660.005581811179</v>
      </c>
    </row>
    <row r="61" customFormat="false" ht="15" hidden="false" customHeight="false" outlineLevel="0" collapsed="false">
      <c r="A61" s="27" t="s">
        <v>273</v>
      </c>
      <c r="B61" s="36" t="n">
        <f aca="false">B56+B60</f>
        <v>853.744956789202</v>
      </c>
    </row>
    <row r="62" customFormat="false" ht="15" hidden="false" customHeight="false" outlineLevel="0" collapsed="false">
      <c r="A62" s="9" t="s">
        <v>319</v>
      </c>
      <c r="B62" s="18" t="n">
        <f aca="false">B60/B61</f>
        <v>0.773071133905557</v>
      </c>
    </row>
    <row r="63" customFormat="false" ht="15" hidden="false" customHeight="false" outlineLevel="0" collapsed="false">
      <c r="A63" s="9" t="s">
        <v>320</v>
      </c>
      <c r="B63" s="19" t="n">
        <f aca="false">B52/(1+(Assumptions!$B$92+Assumptions!$B$94))^1+C52/(1+(Assumptions!$B$92+Assumptions!$B$94))^2+D52/(1+(Assumptions!$B$92+Assumptions!$B$94))^3+E52/(1+(Assumptions!$B$92+Assumptions!$B$94))^4+F52/(1+(Assumptions!$B$92+Assumptions!$B$94))^5+F43*((1+(Assumptions!$B$93-Assumptions!$B$95))*B58-(Assumptions!$B$93-Assumptions!$B$95)*Working_Capital!$B$16)/((Assumptions!$B$92+Assumptions!$B$94)-(Assumptions!$B$93-Assumptions!$B$95))/(1+(Assumptions!$B$92+Assumptions!$B$94))^5</f>
        <v>741.287696792603</v>
      </c>
    </row>
    <row r="64" customFormat="false" ht="15" hidden="false" customHeight="false" outlineLevel="0" collapsed="false">
      <c r="A64" s="9" t="s">
        <v>321</v>
      </c>
      <c r="B64" s="19" t="n">
        <f aca="false">B52/(1+(Assumptions!$B$92-Assumptions!$B$94))^1+C52/(1+(Assumptions!$B$92-Assumptions!$B$94))^2+D52/(1+(Assumptions!$B$92-Assumptions!$B$94))^3+E52/(1+(Assumptions!$B$92-Assumptions!$B$94))^4+F52/(1+(Assumptions!$B$92-Assumptions!$B$94))^5+F43*((1+(Assumptions!$B$93+Assumptions!$B$95))*B58-(Assumptions!$B$93+Assumptions!$B$95)*Working_Capital!$B$16)/((Assumptions!$B$92-Assumptions!$B$94)-(Assumptions!$B$93+Assumptions!$B$95))/(1+(Assumptions!$B$92-Assumptions!$B$94))^5</f>
        <v>1012.33076501811</v>
      </c>
    </row>
    <row r="65" customFormat="false" ht="15" hidden="false" customHeight="false" outlineLevel="0" collapsed="false">
      <c r="A65" s="9" t="s">
        <v>322</v>
      </c>
      <c r="B65" s="19" t="n">
        <f aca="false">(Assumptions!$B$10-B56)/F53</f>
        <v>1535.65337238035</v>
      </c>
    </row>
    <row r="66" customFormat="false" ht="15" hidden="false" customHeight="false" outlineLevel="0" collapsed="false">
      <c r="A66" s="7" t="s">
        <v>324</v>
      </c>
      <c r="B66" s="45" t="n">
        <f aca="false">(((B65*(Assumptions!$B$92-Assumptions!$B$93)/F43+Assumptions!$B$93*Working_Capital!$B$16)/(1+Assumptions!$B$93))-Assumptions!$B$100+Assumptions!$B$106)/(1-Assumptions!$B$66)+Assumptions!$B$100</f>
        <v>0.349137301487365</v>
      </c>
      <c r="C66" s="8"/>
      <c r="D66" s="8"/>
      <c r="E66" s="8"/>
      <c r="F66" s="8"/>
      <c r="G66" s="8"/>
      <c r="H66" s="8"/>
    </row>
    <row r="67" customFormat="false" ht="15" hidden="false" customHeight="false" outlineLevel="0" collapsed="false">
      <c r="A67" s="5" t="s">
        <v>225</v>
      </c>
      <c r="B67" s="46" t="s">
        <v>186</v>
      </c>
      <c r="C67" s="6" t="s">
        <v>187</v>
      </c>
      <c r="D67" s="6" t="s">
        <v>188</v>
      </c>
      <c r="E67" s="6" t="s">
        <v>189</v>
      </c>
      <c r="F67" s="6" t="s">
        <v>190</v>
      </c>
    </row>
    <row r="68" customFormat="false" ht="15" hidden="false" customHeight="false" outlineLevel="0" collapsed="false">
      <c r="A68" s="9" t="s">
        <v>191</v>
      </c>
      <c r="B68" s="29" t="n">
        <f aca="false">Case_Drivers!$B$8</f>
        <v>0.03</v>
      </c>
      <c r="C68" s="29" t="n">
        <f aca="false">Case_Drivers!$C$8</f>
        <v>0.03</v>
      </c>
      <c r="D68" s="29" t="n">
        <f aca="false">Case_Drivers!$D$8</f>
        <v>0.03</v>
      </c>
      <c r="E68" s="29" t="n">
        <f aca="false">Case_Drivers!$E$8</f>
        <v>0.03</v>
      </c>
      <c r="F68" s="29" t="n">
        <f aca="false">Case_Drivers!$F$8</f>
        <v>0.03</v>
      </c>
    </row>
    <row r="69" customFormat="false" ht="15" hidden="false" customHeight="false" outlineLevel="0" collapsed="false">
      <c r="A69" s="27" t="s">
        <v>226</v>
      </c>
      <c r="B69" s="31" t="n">
        <f aca="false">Assumptions!$B$26*(1+B68)</f>
        <v>266.426666666667</v>
      </c>
      <c r="C69" s="31" t="n">
        <f aca="false">B69*(1+C68)</f>
        <v>274.419466666667</v>
      </c>
      <c r="D69" s="31" t="n">
        <f aca="false">C69*(1+D68)</f>
        <v>282.652050666667</v>
      </c>
      <c r="E69" s="31" t="n">
        <f aca="false">D69*(1+E68)</f>
        <v>291.131612186667</v>
      </c>
      <c r="F69" s="31" t="n">
        <f aca="false">E69*(1+F68)</f>
        <v>299.865560552267</v>
      </c>
    </row>
    <row r="70" customFormat="false" ht="15" hidden="false" customHeight="false" outlineLevel="0" collapsed="false">
      <c r="A70" s="9" t="s">
        <v>200</v>
      </c>
      <c r="B70" s="29" t="n">
        <f aca="false">Case_Drivers!$B$14</f>
        <v>0.213367697594502</v>
      </c>
      <c r="C70" s="29" t="n">
        <f aca="false">Case_Drivers!$C$14</f>
        <v>0.203367697594502</v>
      </c>
      <c r="D70" s="29" t="n">
        <f aca="false">Case_Drivers!$D$14</f>
        <v>0.203367697594502</v>
      </c>
      <c r="E70" s="29" t="n">
        <f aca="false">Case_Drivers!$E$14</f>
        <v>0.203367697594502</v>
      </c>
      <c r="F70" s="29" t="n">
        <f aca="false">Case_Drivers!$F$14</f>
        <v>0.203367697594502</v>
      </c>
    </row>
    <row r="71" customFormat="false" ht="15" hidden="false" customHeight="false" outlineLevel="0" collapsed="false">
      <c r="A71" s="27" t="s">
        <v>244</v>
      </c>
      <c r="B71" s="31" t="n">
        <f aca="false">B69*B70</f>
        <v>56.8468444444445</v>
      </c>
      <c r="C71" s="31" t="n">
        <f aca="false">C69*C70</f>
        <v>55.8080551111111</v>
      </c>
      <c r="D71" s="31" t="n">
        <f aca="false">D69*D70</f>
        <v>57.4822967644445</v>
      </c>
      <c r="E71" s="31" t="n">
        <f aca="false">E69*E70</f>
        <v>59.2067656673778</v>
      </c>
      <c r="F71" s="31" t="n">
        <f aca="false">F69*F70</f>
        <v>60.9829686373991</v>
      </c>
    </row>
    <row r="72" customFormat="false" ht="15" hidden="false" customHeight="false" outlineLevel="0" collapsed="false">
      <c r="A72" s="9" t="s">
        <v>239</v>
      </c>
      <c r="B72" s="19" t="n">
        <f aca="false">B69*Assumptions!$B$100</f>
        <v>6.66066666666667</v>
      </c>
      <c r="C72" s="19" t="n">
        <f aca="false">C69*Assumptions!$B$100</f>
        <v>6.86048666666667</v>
      </c>
      <c r="D72" s="19" t="n">
        <f aca="false">D69*Assumptions!$B$100</f>
        <v>7.06630126666667</v>
      </c>
      <c r="E72" s="19" t="n">
        <f aca="false">E69*Assumptions!$B$100</f>
        <v>7.27829030466667</v>
      </c>
      <c r="F72" s="19" t="n">
        <f aca="false">F69*Assumptions!$B$100</f>
        <v>7.49663901380667</v>
      </c>
    </row>
    <row r="73" customFormat="false" ht="15" hidden="false" customHeight="false" outlineLevel="0" collapsed="false">
      <c r="A73" s="9" t="s">
        <v>251</v>
      </c>
      <c r="B73" s="19" t="n">
        <f aca="false">B71-B72</f>
        <v>50.1861777777778</v>
      </c>
      <c r="C73" s="19" t="n">
        <f aca="false">C71-C72</f>
        <v>48.9475684444445</v>
      </c>
      <c r="D73" s="19" t="n">
        <f aca="false">D71-D72</f>
        <v>50.4159954977778</v>
      </c>
      <c r="E73" s="19" t="n">
        <f aca="false">E71-E72</f>
        <v>51.9284753627111</v>
      </c>
      <c r="F73" s="19" t="n">
        <f aca="false">F71-F72</f>
        <v>53.4863296235925</v>
      </c>
    </row>
    <row r="74" customFormat="false" ht="15" hidden="false" customHeight="false" outlineLevel="0" collapsed="false">
      <c r="A74" s="9" t="s">
        <v>310</v>
      </c>
      <c r="B74" s="19" t="n">
        <f aca="false">MAX(B73,0)*Assumptions!$B$66</f>
        <v>11.0610335822222</v>
      </c>
      <c r="C74" s="19" t="n">
        <f aca="false">MAX(C73,0)*Assumptions!$B$66</f>
        <v>10.7880440851556</v>
      </c>
      <c r="D74" s="19" t="n">
        <f aca="false">MAX(D73,0)*Assumptions!$B$66</f>
        <v>11.1116854077102</v>
      </c>
      <c r="E74" s="19" t="n">
        <f aca="false">MAX(E73,0)*Assumptions!$B$66</f>
        <v>11.4450359699415</v>
      </c>
      <c r="F74" s="19" t="n">
        <f aca="false">MAX(F73,0)*Assumptions!$B$66</f>
        <v>11.7883870490398</v>
      </c>
    </row>
    <row r="75" customFormat="false" ht="15" hidden="false" customHeight="false" outlineLevel="0" collapsed="false">
      <c r="A75" s="9" t="s">
        <v>237</v>
      </c>
      <c r="B75" s="19" t="n">
        <f aca="false">B69*Assumptions!$B$101</f>
        <v>9.32493333333333</v>
      </c>
      <c r="C75" s="19" t="n">
        <f aca="false">C69*Assumptions!$B$102</f>
        <v>9.60468133333333</v>
      </c>
      <c r="D75" s="19" t="n">
        <f aca="false">D69*Assumptions!$B$103</f>
        <v>8.47956152</v>
      </c>
      <c r="E75" s="19" t="n">
        <f aca="false">E69*Assumptions!$B$104</f>
        <v>8.7339483656</v>
      </c>
      <c r="F75" s="19" t="n">
        <f aca="false">F69*Assumptions!$B$105</f>
        <v>8.995966816568</v>
      </c>
    </row>
    <row r="76" customFormat="false" ht="15" hidden="false" customHeight="false" outlineLevel="0" collapsed="false">
      <c r="A76" s="9" t="s">
        <v>311</v>
      </c>
      <c r="B76" s="19" t="n">
        <f aca="false">(B69-Assumptions!$B$26)*Working_Capital!$B$16</f>
        <v>1.13210958904109</v>
      </c>
      <c r="C76" s="19" t="n">
        <f aca="false">(C69-B69)*Working_Capital!$B$16</f>
        <v>1.16607287671233</v>
      </c>
      <c r="D76" s="19" t="n">
        <f aca="false">(D69-C69)*Working_Capital!$B$16</f>
        <v>1.2010550630137</v>
      </c>
      <c r="E76" s="19" t="n">
        <f aca="false">(E69-D69)*Working_Capital!$B$16</f>
        <v>1.23708671490411</v>
      </c>
      <c r="F76" s="19" t="n">
        <f aca="false">(F69-E69)*Working_Capital!$B$16</f>
        <v>1.27419931635123</v>
      </c>
    </row>
    <row r="77" customFormat="false" ht="15" hidden="false" customHeight="false" outlineLevel="0" collapsed="false">
      <c r="A77" s="9" t="s">
        <v>312</v>
      </c>
      <c r="B77" s="30" t="n">
        <f aca="false">Assumptions!$B$120</f>
        <v>8</v>
      </c>
      <c r="C77" s="15" t="n">
        <v>0</v>
      </c>
      <c r="D77" s="15" t="n">
        <v>0</v>
      </c>
      <c r="E77" s="15" t="n">
        <v>0</v>
      </c>
      <c r="F77" s="15" t="n">
        <v>0</v>
      </c>
    </row>
    <row r="78" customFormat="false" ht="15" hidden="false" customHeight="false" outlineLevel="0" collapsed="false">
      <c r="A78" s="27" t="s">
        <v>313</v>
      </c>
      <c r="B78" s="31" t="n">
        <f aca="false">B71-B74-B75-B76-B77</f>
        <v>27.3287679398478</v>
      </c>
      <c r="C78" s="31" t="n">
        <f aca="false">C71-C74-C75-C76-C77</f>
        <v>34.2492568159099</v>
      </c>
      <c r="D78" s="31" t="n">
        <f aca="false">D71-D74-D75-D76-D77</f>
        <v>36.6899947737205</v>
      </c>
      <c r="E78" s="31" t="n">
        <f aca="false">E71-E74-E75-E76-E77</f>
        <v>37.7906946169322</v>
      </c>
      <c r="F78" s="31" t="n">
        <f aca="false">F71-F74-F75-F76-F77</f>
        <v>38.9244154554401</v>
      </c>
    </row>
    <row r="79" customFormat="false" ht="15" hidden="false" customHeight="false" outlineLevel="0" collapsed="false">
      <c r="A79" s="9" t="s">
        <v>314</v>
      </c>
      <c r="B79" s="34" t="n">
        <f aca="false">1/(1+Assumptions!$B$92)^1</f>
        <v>0.918932171410991</v>
      </c>
      <c r="C79" s="34" t="n">
        <f aca="false">1/(1+Assumptions!$B$92)^2</f>
        <v>0.844436335654119</v>
      </c>
      <c r="D79" s="34" t="n">
        <f aca="false">1/(1+Assumptions!$B$92)^3</f>
        <v>0.77597971554098</v>
      </c>
      <c r="E79" s="34" t="n">
        <f aca="false">1/(1+Assumptions!$B$92)^4</f>
        <v>0.713072724972956</v>
      </c>
      <c r="F79" s="34" t="n">
        <f aca="false">1/(1+Assumptions!$B$92)^5</f>
        <v>0.655265467533351</v>
      </c>
    </row>
    <row r="80" customFormat="false" ht="15" hidden="false" customHeight="false" outlineLevel="0" collapsed="false">
      <c r="A80" s="9" t="s">
        <v>260</v>
      </c>
      <c r="B80" s="19" t="n">
        <f aca="false">B78*B79</f>
        <v>25.1132840649514</v>
      </c>
      <c r="C80" s="19" t="n">
        <f aca="false">C78*C79</f>
        <v>28.9213169245038</v>
      </c>
      <c r="D80" s="19" t="n">
        <f aca="false">D78*D79</f>
        <v>28.4706917077117</v>
      </c>
      <c r="E80" s="19" t="n">
        <f aca="false">E78*E79</f>
        <v>26.9475135891166</v>
      </c>
      <c r="F80" s="19" t="n">
        <f aca="false">F78*F79</f>
        <v>25.5058252918713</v>
      </c>
    </row>
    <row r="82" customFormat="false" ht="15" hidden="false" customHeight="false" outlineLevel="0" collapsed="false">
      <c r="A82" s="9" t="s">
        <v>315</v>
      </c>
      <c r="B82" s="19" t="n">
        <f aca="false">SUM(B80:F80)</f>
        <v>134.958631578155</v>
      </c>
    </row>
    <row r="83" customFormat="false" ht="15" hidden="false" customHeight="false" outlineLevel="0" collapsed="false">
      <c r="A83" s="9" t="s">
        <v>316</v>
      </c>
      <c r="B83" s="24" t="n">
        <f aca="false">F70</f>
        <v>0.203367697594502</v>
      </c>
    </row>
    <row r="84" customFormat="false" ht="15" hidden="false" customHeight="false" outlineLevel="0" collapsed="false">
      <c r="A84" s="9" t="s">
        <v>317</v>
      </c>
      <c r="B84" s="34" t="n">
        <f aca="false">(B83-Assumptions!$B$100)*(1-Assumptions!$B$66)+Assumptions!$B$100-Assumptions!$B$106</f>
        <v>0.134055457044674</v>
      </c>
    </row>
    <row r="85" customFormat="false" ht="15" hidden="false" customHeight="false" outlineLevel="0" collapsed="false">
      <c r="A85" s="9" t="s">
        <v>318</v>
      </c>
      <c r="B85" s="19" t="n">
        <f aca="false">F69*((1+Assumptions!$B$93)*B84-Assumptions!$B$93*Working_Capital!$B$16)/(Assumptions!$B$92-Assumptions!$B$93)</f>
        <v>688.636608961644</v>
      </c>
    </row>
    <row r="86" customFormat="false" ht="15" hidden="false" customHeight="false" outlineLevel="0" collapsed="false">
      <c r="A86" s="9" t="s">
        <v>271</v>
      </c>
      <c r="B86" s="19" t="n">
        <f aca="false">B85*F79</f>
        <v>451.239789531833</v>
      </c>
    </row>
    <row r="87" customFormat="false" ht="15" hidden="false" customHeight="false" outlineLevel="0" collapsed="false">
      <c r="A87" s="27" t="s">
        <v>273</v>
      </c>
      <c r="B87" s="36" t="n">
        <f aca="false">B82+B86</f>
        <v>586.198421109987</v>
      </c>
    </row>
    <row r="88" customFormat="false" ht="15" hidden="false" customHeight="false" outlineLevel="0" collapsed="false">
      <c r="A88" s="9" t="s">
        <v>319</v>
      </c>
      <c r="B88" s="18" t="n">
        <f aca="false">B86/B87</f>
        <v>0.769773123369036</v>
      </c>
    </row>
    <row r="89" customFormat="false" ht="15" hidden="false" customHeight="false" outlineLevel="0" collapsed="false">
      <c r="A89" s="9" t="s">
        <v>320</v>
      </c>
      <c r="B89" s="19" t="n">
        <f aca="false">B78/(1+(Assumptions!$B$92+Assumptions!$B$94))^1+C78/(1+(Assumptions!$B$92+Assumptions!$B$94))^2+D78/(1+(Assumptions!$B$92+Assumptions!$B$94))^3+E78/(1+(Assumptions!$B$92+Assumptions!$B$94))^4+F78/(1+(Assumptions!$B$92+Assumptions!$B$94))^5+F69*((1+(Assumptions!$B$93-Assumptions!$B$95))*B84-(Assumptions!$B$93-Assumptions!$B$95)*Working_Capital!$B$16)/((Assumptions!$B$92+Assumptions!$B$94)-(Assumptions!$B$93-Assumptions!$B$95))/(1+(Assumptions!$B$92+Assumptions!$B$94))^5</f>
        <v>509.658320109114</v>
      </c>
    </row>
    <row r="90" customFormat="false" ht="15" hidden="false" customHeight="false" outlineLevel="0" collapsed="false">
      <c r="A90" s="9" t="s">
        <v>321</v>
      </c>
      <c r="B90" s="19" t="n">
        <f aca="false">B78/(1+(Assumptions!$B$92-Assumptions!$B$94))^1+C78/(1+(Assumptions!$B$92-Assumptions!$B$94))^2+D78/(1+(Assumptions!$B$92-Assumptions!$B$94))^3+E78/(1+(Assumptions!$B$92-Assumptions!$B$94))^4+F78/(1+(Assumptions!$B$92-Assumptions!$B$94))^5+F69*((1+(Assumptions!$B$93+Assumptions!$B$95))*B84-(Assumptions!$B$93+Assumptions!$B$95)*Working_Capital!$B$16)/((Assumptions!$B$92-Assumptions!$B$94)-(Assumptions!$B$93+Assumptions!$B$95))/(1+(Assumptions!$B$92-Assumptions!$B$94))^5</f>
        <v>694.097258352378</v>
      </c>
    </row>
    <row r="91" customFormat="false" ht="15" hidden="false" customHeight="false" outlineLevel="0" collapsed="false">
      <c r="A91" s="9" t="s">
        <v>322</v>
      </c>
      <c r="B91" s="19" t="n">
        <f aca="false">(Assumptions!$B$10-B82)/F79</f>
        <v>1625.35860836835</v>
      </c>
    </row>
    <row r="92" customFormat="false" ht="15" hidden="false" customHeight="false" outlineLevel="0" collapsed="false">
      <c r="A92" s="9" t="s">
        <v>325</v>
      </c>
      <c r="B92" s="24" t="n">
        <f aca="false">(((B91*(Assumptions!$B$92-Assumptions!$B$93)/F69+Assumptions!$B$93*Working_Capital!$B$16)/(1+Assumptions!$B$93))-Assumptions!$B$100+Assumptions!$B$106)/(1-Assumptions!$B$66)+Assumptions!$B$100</f>
        <v>0.429855225778457</v>
      </c>
    </row>
    <row r="93" customFormat="false" ht="15" hidden="false" customHeight="false" outlineLevel="0" collapsed="false">
      <c r="A93" s="9" t="s">
        <v>326</v>
      </c>
      <c r="B93" s="24" t="n">
        <f aca="false">(B91*Assumptions!$B$92-F69*B84)/(F69*(B84-Working_Capital!$B$16)+B91)</f>
        <v>0.0636263740870107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1"/>
    <col collapsed="false" customWidth="true" hidden="false" outlineLevel="0" max="2" min="2" style="0" width="62"/>
    <col collapsed="false" customWidth="true" hidden="false" outlineLevel="0" max="3" min="3" style="0" width="70"/>
    <col collapsed="false" customWidth="true" hidden="false" outlineLevel="0" max="4" min="4" style="0" width="42"/>
  </cols>
  <sheetData>
    <row r="1" customFormat="false" ht="15" hidden="false" customHeight="false" outlineLevel="0" collapsed="false">
      <c r="A1" s="5" t="s">
        <v>327</v>
      </c>
      <c r="B1" s="6" t="s">
        <v>106</v>
      </c>
      <c r="C1" s="6" t="s">
        <v>328</v>
      </c>
      <c r="D1" s="6" t="s">
        <v>329</v>
      </c>
    </row>
    <row r="2" customFormat="false" ht="24.05" hidden="false" customHeight="false" outlineLevel="0" collapsed="false">
      <c r="A2" s="4" t="s">
        <v>330</v>
      </c>
      <c r="B2" s="4" t="s">
        <v>331</v>
      </c>
      <c r="C2" s="4" t="s">
        <v>332</v>
      </c>
      <c r="D2" s="4" t="s">
        <v>333</v>
      </c>
    </row>
    <row r="3" customFormat="false" ht="24.05" hidden="false" customHeight="false" outlineLevel="0" collapsed="false">
      <c r="A3" s="4" t="s">
        <v>334</v>
      </c>
      <c r="B3" s="4" t="s">
        <v>335</v>
      </c>
      <c r="C3" s="4" t="s">
        <v>336</v>
      </c>
      <c r="D3" s="4" t="s">
        <v>337</v>
      </c>
    </row>
    <row r="4" customFormat="false" ht="15" hidden="false" customHeight="false" outlineLevel="0" collapsed="false">
      <c r="A4" s="4" t="s">
        <v>338</v>
      </c>
      <c r="B4" s="4" t="s">
        <v>339</v>
      </c>
      <c r="C4" s="4" t="s">
        <v>340</v>
      </c>
      <c r="D4" s="4" t="s">
        <v>341</v>
      </c>
    </row>
    <row r="5" customFormat="false" ht="24.05" hidden="false" customHeight="false" outlineLevel="0" collapsed="false">
      <c r="A5" s="4" t="s">
        <v>342</v>
      </c>
      <c r="B5" s="4" t="s">
        <v>343</v>
      </c>
      <c r="C5" s="4" t="s">
        <v>344</v>
      </c>
      <c r="D5" s="4" t="s">
        <v>345</v>
      </c>
    </row>
    <row r="6" customFormat="false" ht="24.05" hidden="false" customHeight="false" outlineLevel="0" collapsed="false">
      <c r="A6" s="4" t="s">
        <v>346</v>
      </c>
      <c r="B6" s="4" t="s">
        <v>347</v>
      </c>
      <c r="C6" s="4" t="s">
        <v>348</v>
      </c>
      <c r="D6" s="4" t="s">
        <v>349</v>
      </c>
    </row>
    <row r="7" customFormat="false" ht="24.05" hidden="false" customHeight="false" outlineLevel="0" collapsed="false">
      <c r="A7" s="4" t="s">
        <v>350</v>
      </c>
      <c r="B7" s="4" t="s">
        <v>351</v>
      </c>
      <c r="C7" s="4" t="s">
        <v>352</v>
      </c>
      <c r="D7" s="4" t="s">
        <v>353</v>
      </c>
    </row>
    <row r="8" customFormat="false" ht="24.05" hidden="false" customHeight="false" outlineLevel="0" collapsed="false">
      <c r="A8" s="4" t="s">
        <v>354</v>
      </c>
      <c r="B8" s="4" t="s">
        <v>355</v>
      </c>
      <c r="C8" s="4" t="s">
        <v>356</v>
      </c>
      <c r="D8" s="4" t="s">
        <v>357</v>
      </c>
    </row>
    <row r="9" customFormat="false" ht="24.05" hidden="false" customHeight="false" outlineLevel="0" collapsed="false">
      <c r="A9" s="4" t="s">
        <v>358</v>
      </c>
      <c r="B9" s="4" t="s">
        <v>359</v>
      </c>
      <c r="C9" s="4" t="s">
        <v>360</v>
      </c>
      <c r="D9" s="4" t="s">
        <v>361</v>
      </c>
    </row>
    <row r="10" customFormat="false" ht="24.05" hidden="false" customHeight="false" outlineLevel="0" collapsed="false">
      <c r="A10" s="4" t="s">
        <v>362</v>
      </c>
      <c r="B10" s="4" t="s">
        <v>363</v>
      </c>
      <c r="C10" s="4" t="s">
        <v>364</v>
      </c>
      <c r="D10" s="4" t="s">
        <v>365</v>
      </c>
    </row>
    <row r="11" customFormat="false" ht="24.05" hidden="false" customHeight="false" outlineLevel="0" collapsed="false">
      <c r="A11" s="4" t="s">
        <v>366</v>
      </c>
      <c r="B11" s="4" t="s">
        <v>367</v>
      </c>
      <c r="C11" s="4" t="s">
        <v>368</v>
      </c>
      <c r="D11" s="4" t="s">
        <v>369</v>
      </c>
    </row>
    <row r="12" customFormat="false" ht="15" hidden="false" customHeight="false" outlineLevel="0" collapsed="false">
      <c r="A12" s="4" t="s">
        <v>370</v>
      </c>
      <c r="B12" s="4" t="s">
        <v>371</v>
      </c>
      <c r="C12" s="4" t="s">
        <v>372</v>
      </c>
      <c r="D12" s="4" t="s">
        <v>373</v>
      </c>
    </row>
    <row r="13" customFormat="false" ht="15" hidden="false" customHeight="false" outlineLevel="0" collapsed="false">
      <c r="A13" s="4" t="s">
        <v>374</v>
      </c>
      <c r="B13" s="4" t="s">
        <v>375</v>
      </c>
      <c r="C13" s="4" t="s">
        <v>376</v>
      </c>
      <c r="D13" s="4" t="s">
        <v>377</v>
      </c>
    </row>
    <row r="14" customFormat="false" ht="24.05" hidden="false" customHeight="false" outlineLevel="0" collapsed="false">
      <c r="A14" s="4" t="s">
        <v>378</v>
      </c>
      <c r="B14" s="4" t="s">
        <v>379</v>
      </c>
      <c r="C14" s="4" t="s">
        <v>380</v>
      </c>
      <c r="D14" s="4" t="s">
        <v>381</v>
      </c>
    </row>
    <row r="16" customFormat="false" ht="15" hidden="false" customHeight="false" outlineLevel="0" collapsed="false">
      <c r="A16" s="2"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2026-10-09T16:17:39Z</dcterms:created>
  <dc:creator>openpyxl</dc:creator>
  <dc:description/>
  <dc:language>en-GB</dc:language>
  <cp:lastModifiedBy/>
  <dcterms:modified xsi:type="dcterms:W3CDTF">2026-10-09T16:17:39Z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
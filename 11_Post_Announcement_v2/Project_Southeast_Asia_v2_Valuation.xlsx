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omps" sheetId="2" state="visible" r:id="rId4"/>
    <sheet name="Precedents" sheetId="3" state="visible" r:id="rId5"/>
    <sheet name="Implied_Valuation" sheetId="4" state="visible" r:id="rId6"/>
    <sheet name="Triangulation" sheetId="5" state="visible" r:id="rId7"/>
    <sheet name="Deal_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<sst xmlns="http://schemas.openxmlformats.org/spreadsheetml/2006/main" count="216" uniqueCount="170">
  <si>
    <t xml:space="preserve">Project Southeast Asia - v2 Valuation (post-announcement)</t>
  </si>
  <si>
    <t xml:space="preserve">Independent student analysis/reconstruction based on publicly available information. Not affiliated with, commissioned by, or representative of Goldman Sachs, AkzoNobel or Nippon Paint.</t>
  </si>
  <si>
    <t xml:space="preserve">PURPOSE: apply comps, precedents and the v2 DCF to the REPORTED FY2025 (and Base FY2026E) financials of the seven-country perimeter, triangulate, then check against the announced EUR 1.2bn. The announced price is a CHECK, not a target.</t>
  </si>
  <si>
    <t xml:space="preserve">SHEETS: Comps (reused from 03_Trading_Comps, pulled 2026-09-18, not refreshed) | Precedents (four existing + announced deal as an EXCLUDED reference row) | Implied_Valuation | Triangulation (weights fixed first) | Deal_Check (gaps, reverse DCF, leakage).</t>
  </si>
  <si>
    <t xml:space="preserve">LINK CHOICE: model outputs are PASTED VALUES in red font, each labelled with its source cell in Project_Southeast_Asia_v2_Financial_Model.xlsx, rather than live external links (script-built external links trigger Excel update prompts and break if the folder moves). A scripted check confirms every pasted value equals the model cell. Re-run the build after any model change.</t>
  </si>
  <si>
    <t xml:space="preserve">WEIGHTS: fixed on Triangulation before the comparison on Deal_Check, with the logic stated; alternatives are shown for transparency, not selected.</t>
  </si>
  <si>
    <t xml:space="preserve">LIMITATIONS: FY24/FY25 financials come from media reports (reported by several outlets, attributed to Nippon Paint; primary release not read), not in AkzoNobel's release; the 2026 projection is single-source; country split and country risk premiums are illustrative; comps are dated 2026-09-18; the Information Memorandum and pitch deck valuation slides have NOT been refreshed.</t>
  </si>
  <si>
    <t xml:space="preserve">COLOUR CODE: blue = input; black = formula; green = same-workbook link; red = value copied from the model workbook.</t>
  </si>
  <si>
    <t xml:space="preserve">Trading comparables (REUSED from 03_Trading_Comps: same pull date, same method, not refreshed)</t>
  </si>
  <si>
    <t xml:space="preserve">Yahoo Finance (yfinance) single pull, 2026-09-18 (SRC-034). Native-currency millions; multiples are unit-free. Inputs copied from 03_Trading_Comps; statistics recomputed here.</t>
  </si>
  <si>
    <t xml:space="preserve">Company</t>
  </si>
  <si>
    <t xml:space="preserve">Ccy</t>
  </si>
  <si>
    <t xml:space="preserve">Enterprise value</t>
  </si>
  <si>
    <t xml:space="preserve">Revenue TTM</t>
  </si>
  <si>
    <t xml:space="preserve">EBITDA TTM</t>
  </si>
  <si>
    <t xml:space="preserve">EBITDA margin</t>
  </si>
  <si>
    <t xml:space="preserve">EV / Revenue</t>
  </si>
  <si>
    <t xml:space="preserve">EV / EBITDA</t>
  </si>
  <si>
    <t xml:space="preserve">In statistics?</t>
  </si>
  <si>
    <t xml:space="preserve">Sherwin-Williams</t>
  </si>
  <si>
    <t xml:space="preserve">USD</t>
  </si>
  <si>
    <t xml:space="preserve">Yes</t>
  </si>
  <si>
    <t xml:space="preserve">PPG Industries</t>
  </si>
  <si>
    <t xml:space="preserve">Nippon Paint Holdings</t>
  </si>
  <si>
    <t xml:space="preserve">JPY</t>
  </si>
  <si>
    <t xml:space="preserve">Kansai Paint</t>
  </si>
  <si>
    <t xml:space="preserve">Asian Paints</t>
  </si>
  <si>
    <t xml:space="preserve">INR</t>
  </si>
  <si>
    <t xml:space="preserve">Berger Paints India</t>
  </si>
  <si>
    <t xml:space="preserve">AkzoNobel (AKZA.AS) — SELLER, reference only</t>
  </si>
  <si>
    <t xml:space="preserve">EUR</t>
  </si>
  <si>
    <t xml:space="preserve">No (seller, reference)</t>
  </si>
  <si>
    <t xml:space="preserve">Statistic (rows 5-10)</t>
  </si>
  <si>
    <t xml:space="preserve">25th percentile</t>
  </si>
  <si>
    <t xml:space="preserve">Median</t>
  </si>
  <si>
    <t xml:space="preserve">75th percentile</t>
  </si>
  <si>
    <t xml:space="preserve">Caveats: peers are listed, mostly larger and differently mixed; trading multiples are minority, TTM, in different markets. Asian Paints and Berger (28-34x EBITDA) pull the upper quartile far above the rest. Not refreshed after the 5 Oct 2026 announcement.</t>
  </si>
  <si>
    <t xml:space="preserve">Precedent transactions (four REUSED from 04_Precedent_Transactions + the announced deal as a reference row)</t>
  </si>
  <si>
    <t xml:space="preserve">Statistics use rows 5-8 only. The announced deal (row 10) is shown for reference and EXCLUDED, so the check against it is not circular.</t>
  </si>
  <si>
    <t xml:space="preserve">Transaction</t>
  </si>
  <si>
    <t xml:space="preserve">EV (m)</t>
  </si>
  <si>
    <t xml:space="preserve">Revenue (m)</t>
  </si>
  <si>
    <t xml:space="preserve">EBITDA (m)</t>
  </si>
  <si>
    <t xml:space="preserve">Classification / note</t>
  </si>
  <si>
    <t xml:space="preserve">PPG Architectural Coatings (US/Canada) -&gt; AIP, 2024</t>
  </si>
  <si>
    <t xml:space="preserve">EV and revenue DISCLOSED; EBITDA UNAVAILABLE. Sponsor buyer.</t>
  </si>
  <si>
    <t xml:space="preserve">Suvinil (BASF Brazil) -&gt; Sherwin-Williams, 2025</t>
  </si>
  <si>
    <t xml:space="preserve">EV/revenue ANALYST CALCULATION; 'low teens' EBITDA is qualitative only -&gt; UNAVAILABLE here.</t>
  </si>
  <si>
    <t xml:space="preserve">AkzoNobel Decorative (global) &lt;- Nippon Paint offer, 2026</t>
  </si>
  <si>
    <t xml:space="preserve">REJECTED offer, not a completed deal. EBITDA = revenue x 15.8% (ANALYST CALCULATION).</t>
  </si>
  <si>
    <t xml:space="preserve">AkzoNobel India -&gt; JSW Paints, 2025</t>
  </si>
  <si>
    <t xml:space="preserve">EV/EBITDA 25x DISCLOSED; EV/revenue UNAVAILABLE. Controlling stake in a single, high-growth Indian market.</t>
  </si>
  <si>
    <t xml:space="preserve">Announced deal (reference only, EXCLUDED): SE Asia Decorative Paints -&gt; Nippon Paint, Oct 2026</t>
  </si>
  <si>
    <t xml:space="preserve">EV: PUBLIC FACT (SRC-037). Revenue/EBITDA: REPORTED, corroborated. Pasted from model Assumptions cells ev_usd, rev25_usd, ebitda25_usd.</t>
  </si>
  <si>
    <t xml:space="preserve">Statistic (rows 5-8 only)</t>
  </si>
  <si>
    <t xml:space="preserve">Minimum</t>
  </si>
  <si>
    <t xml:space="preserve">Maximum</t>
  </si>
  <si>
    <t xml:space="preserve">Count of data points</t>
  </si>
  <si>
    <t xml:space="preserve">EV/EBITDA rests on only two data points (a rejected offer and a controlling Indian stake); EV/revenue on three, one a sponsor deal in North America. Weights in Triangulation reflect this.</t>
  </si>
  <si>
    <t xml:space="preserve">Implied valuation: multiples applied to reported FY2025 and Base FY2026E metrics (EUR m)</t>
  </si>
  <si>
    <t xml:space="preserve">Metrics are pasted values from the v2 model (red font); the last column names the source cell.</t>
  </si>
  <si>
    <t xml:space="preserve">Metric (EUR m)</t>
  </si>
  <si>
    <t xml:space="preserve">Value</t>
  </si>
  <si>
    <t xml:space="preserve">Source: v2 model cell</t>
  </si>
  <si>
    <t xml:space="preserve">FY2025 reported revenue</t>
  </si>
  <si>
    <t xml:space="preserve">Assumptions!B26</t>
  </si>
  <si>
    <t xml:space="preserve">FY2025 reported EBITDA</t>
  </si>
  <si>
    <t xml:space="preserve">Assumptions!B28</t>
  </si>
  <si>
    <t xml:space="preserve">FY2026E revenue, Base case</t>
  </si>
  <si>
    <t xml:space="preserve">Cases!B17</t>
  </si>
  <si>
    <t xml:space="preserve">FY2026E EBITDA, Base case</t>
  </si>
  <si>
    <t xml:space="preserve">Cases!B19</t>
  </si>
  <si>
    <t xml:space="preserve">Multiples used</t>
  </si>
  <si>
    <t xml:space="preserve">Method</t>
  </si>
  <si>
    <t xml:space="preserve">Metric</t>
  </si>
  <si>
    <t xml:space="preserve">Low</t>
  </si>
  <si>
    <t xml:space="preserve">Mid</t>
  </si>
  <si>
    <t xml:space="preserve">High</t>
  </si>
  <si>
    <t xml:space="preserve">Trading comps EV/EBITDA (P25 / median / P75) x FY25 EBITDA</t>
  </si>
  <si>
    <t xml:space="preserve">Trading comps EV/EBITDA x FY26E Base EBITDA</t>
  </si>
  <si>
    <t xml:space="preserve">Trading comps EV/Revenue (P25 / median / P75) x FY25 revenue</t>
  </si>
  <si>
    <t xml:space="preserve">Trading comps EV/Revenue x FY26E Base revenue</t>
  </si>
  <si>
    <t xml:space="preserve">Precedents EV/EBITDA (min / median / max) x FY25 EBITDA</t>
  </si>
  <si>
    <t xml:space="preserve">Precedents EV/EBITDA x FY26E Base EBITDA</t>
  </si>
  <si>
    <t xml:space="preserve">Precedents EV/Revenue (min / median / max) x FY25 revenue</t>
  </si>
  <si>
    <t xml:space="preserve">Precedents EV/Revenue x FY26E Base revenue</t>
  </si>
  <si>
    <t xml:space="preserve">Implied enterprise value (EUR m)</t>
  </si>
  <si>
    <t xml:space="preserve">Low / Mid / High are percentile or min / median / max picks, not scenarios. EV/revenue ignores margin; EV/EBITDA ignores growth. Rows 24, 26, 28, 30 (FY25) feed Triangulation.</t>
  </si>
  <si>
    <t xml:space="preserve">Valuation triangulation (EUR m)</t>
  </si>
  <si>
    <t xml:space="preserve">WEIGHTS ARE FIXED HERE, ON FIRST PRINCIPLES, BEFORE ANY COMPARISON WITH THE ANNOUNCED PRICE (Deal_Check). They were not adjusted after seeing the gap.</t>
  </si>
  <si>
    <t xml:space="preserve">Weighting logic (stated before comparison)</t>
  </si>
  <si>
    <t xml:space="preserve">1. Intrinsic value (DCF) carries 40%: the only method built on this business's own reported margin and an explicit risk-adjusted discount rate. Split Base 25% / Buyer 7.5% / Downside 7.5%: Base is the seller / standalone view; the other two bracket it.</t>
  </si>
  <si>
    <t xml:space="preserve">2. Market EV/EBITDA methods carry the next weight: trading comps 25% (six listed peers, one date) and precedents 15% (only two data points, one a rejected offer).</t>
  </si>
  <si>
    <t xml:space="preserve">3. EV/Revenue methods carry 10% each: revenue multiples ignore the ~22% margin and range widely (0.3x to 6.2x), so they are context, not anchors.</t>
  </si>
  <si>
    <t xml:space="preserve">4. Weights sum to 100% and are held constant. Deal_Check shows alternative weightings for transparency; none was chosen after seeing the result.</t>
  </si>
  <si>
    <t xml:space="preserve">Weight</t>
  </si>
  <si>
    <t xml:space="preserve">Basis</t>
  </si>
  <si>
    <t xml:space="preserve">DCF - Base case</t>
  </si>
  <si>
    <t xml:space="preserve">Seller / standalone: reported FY25 margin held, 5% growth. Pasted from model Cases B37 / B35 / B38; Low/High = WACC +/- 0.5pp with g -/+ 0.5pp</t>
  </si>
  <si>
    <t xml:space="preserve">DCF - Buyer case</t>
  </si>
  <si>
    <t xml:space="preserve">Nippon Paint's 2026 projection (single-source, buyer's view), then a fade. Pasted from model Cases B68 / B66 / B69; Low/High = WACC +/- 0.5pp with g -/+ 0.5pp</t>
  </si>
  <si>
    <t xml:space="preserve">DCF - Downside case</t>
  </si>
  <si>
    <t xml:space="preserve">3% growth, margin step-down for standalone costs. Pasted from model Cases B99 / B97 / B100; Low/High = WACC +/- 0.5pp with g -/+ 0.5pp</t>
  </si>
  <si>
    <t xml:space="preserve">Trading comps - EV/EBITDA (FY25 reported)</t>
  </si>
  <si>
    <t xml:space="preserve">P25 / median / P75 of six peers</t>
  </si>
  <si>
    <t xml:space="preserve">Trading comps - EV/Revenue (FY25 reported)</t>
  </si>
  <si>
    <t xml:space="preserve">Precedents - EV/EBITDA (FY25 reported)</t>
  </si>
  <si>
    <t xml:space="preserve">min / median / max, 2 data points</t>
  </si>
  <si>
    <t xml:space="preserve">Precedents - EV/Revenue (FY25 reported)</t>
  </si>
  <si>
    <t xml:space="preserve">min / median / max, 3 data points</t>
  </si>
  <si>
    <t xml:space="preserve">Total weight (check = 100%)</t>
  </si>
  <si>
    <t xml:space="preserve">Weighted enterprise value (EUR m)</t>
  </si>
  <si>
    <t xml:space="preserve">Recommended range, rounded to EUR 25m: low / mid / high</t>
  </si>
  <si>
    <t xml:space="preserve">Mid-point implied EV / FY2025 reported EBITDA</t>
  </si>
  <si>
    <t xml:space="preserve">Check: Base DCF mid here less the model value (must be 0)</t>
  </si>
  <si>
    <t xml:space="preserve">The range is a weighted blend, not a forecast of the sale price. The September (pre-announcement) range was EUR 500 / 625 / 775m on a four-country basis and a different revenue anchor; the two are not like-for-like.</t>
  </si>
  <si>
    <t xml:space="preserve">Deal check: our methods versus the announced price (a CHECK, not a target)</t>
  </si>
  <si>
    <t xml:space="preserve">Nothing in the model or the weights was changed after this sheet was designed. Gaps are reported as they fall.</t>
  </si>
  <si>
    <t xml:space="preserve">Announced transaction and inputs</t>
  </si>
  <si>
    <t xml:space="preserve">Source</t>
  </si>
  <si>
    <t xml:space="preserve">Announced EV (EUR m)</t>
  </si>
  <si>
    <t xml:space="preserve">AkzoNobel release (SRC-037) - PUBLIC FACT</t>
  </si>
  <si>
    <t xml:space="preserve">Announced EV (USD m)</t>
  </si>
  <si>
    <t xml:space="preserve">SRC-037</t>
  </si>
  <si>
    <t xml:space="preserve">FX, USD per EUR</t>
  </si>
  <si>
    <t xml:space="preserve">model Assumptions: the single FX input</t>
  </si>
  <si>
    <t xml:space="preserve">FY2025 reported EBITDA (EUR m)</t>
  </si>
  <si>
    <t xml:space="preserve">REPORTED, corroborated; model cell</t>
  </si>
  <si>
    <t xml:space="preserve">FY2025 reported revenue (EUR m)</t>
  </si>
  <si>
    <t xml:space="preserve">Base FY2026E EBITDA (EUR m)</t>
  </si>
  <si>
    <t xml:space="preserve">model Cases (Base)</t>
  </si>
  <si>
    <t xml:space="preserve">Buyer FY2026E EBITDA (EUR m)</t>
  </si>
  <si>
    <t xml:space="preserve">model Cases (Buyer; = Nippon Paint's projection)</t>
  </si>
  <si>
    <t xml:space="preserve">Net cash proceeds (EUR m)</t>
  </si>
  <si>
    <t xml:space="preserve">AkzoNobel release (SRC-037)</t>
  </si>
  <si>
    <t xml:space="preserve">Implied multiples at the announced price</t>
  </si>
  <si>
    <t xml:space="preserve">EV / FY2025 reported EBITDA (AkzoNobel states 21x)</t>
  </si>
  <si>
    <t xml:space="preserve">EV / Base FY2026E EBITDA</t>
  </si>
  <si>
    <t xml:space="preserve">EV / Buyer FY2026E EBITDA (Nippon Paint states ~16x)</t>
  </si>
  <si>
    <t xml:space="preserve">EV / FY2025 reported revenue</t>
  </si>
  <si>
    <t xml:space="preserve">Gap of each method versus the announced EV (mid-points; EUR m and %)</t>
  </si>
  <si>
    <t xml:space="preserve">Our mid EV</t>
  </si>
  <si>
    <t xml:space="preserve">Gap: announced less ours</t>
  </si>
  <si>
    <t xml:space="preserve">Announced / ours - 1</t>
  </si>
  <si>
    <t xml:space="preserve">Weighted triangulation (recommended mid)</t>
  </si>
  <si>
    <t xml:space="preserve">Where the announced EV falls against the weighted low / high</t>
  </si>
  <si>
    <t xml:space="preserve">Highest / lowest single-method mid-point (EUR m)</t>
  </si>
  <si>
    <t xml:space="preserve">Methods (of 7) whose HIGH value reaches the announced EV</t>
  </si>
  <si>
    <t xml:space="preserve">Sensitivity of the conclusion to the weights (stated alternatives, none selected)</t>
  </si>
  <si>
    <t xml:space="preserve">Weighting scheme</t>
  </si>
  <si>
    <t xml:space="preserve">Weighted mid EV</t>
  </si>
  <si>
    <t xml:space="preserve">As fixed on Triangulation</t>
  </si>
  <si>
    <t xml:space="preserve">Equal weight, all seven methods</t>
  </si>
  <si>
    <t xml:space="preserve">DCF only (Base 50% / Buyer 25% / Downside 25%)</t>
  </si>
  <si>
    <t xml:space="preserve">Market only (EV/EBITDA 60%, EV/Revenue 40%; comps and precedents equal)</t>
  </si>
  <si>
    <t xml:space="preserve">Reverse DCF (pasted from the v2 model Cases sheet)</t>
  </si>
  <si>
    <t xml:space="preserve">What you need to believe to reach the announced EV (other inputs held)</t>
  </si>
  <si>
    <t xml:space="preserve">Base</t>
  </si>
  <si>
    <t xml:space="preserve">Buyer</t>
  </si>
  <si>
    <t xml:space="preserve">Downside</t>
  </si>
  <si>
    <t xml:space="preserve">Terminal EBITDA margin needed</t>
  </si>
  <si>
    <t xml:space="preserve">Terminal growth needed (WACC held)</t>
  </si>
  <si>
    <t xml:space="preserve">Case terminal EBITDA margin (FY2030E)</t>
  </si>
  <si>
    <t xml:space="preserve">Reported FY2025 EBITDA margin</t>
  </si>
  <si>
    <t xml:space="preserve">WACC / base terminal growth</t>
  </si>
  <si>
    <t xml:space="preserve">From EV to what AkzoNobel keeps: leakage, NOT equity value</t>
  </si>
  <si>
    <t xml:space="preserve">Leakage: taxes and payments to minority partners (EUR m)</t>
  </si>
  <si>
    <t xml:space="preserve">Leakage as % of EV</t>
  </si>
  <si>
    <t xml:space="preserve">Leakage in USD m (announced USD EV less USD proceeds; differs from EUR x FX because the release rounds)</t>
  </si>
  <si>
    <t xml:space="preserve">EV less net proceeds is the amount the release says goes to taxes and minority partners. It is NOT an equity value of the perimeter: net debt and the minority share are not disclosed.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</si>
</sst>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(#,##0.0\);\-"/>
    <numFmt numFmtId="166" formatCode="0.0%"/>
    <numFmt numFmtId="167" formatCode="0.00\x"/>
    <numFmt numFmtId="168" formatCode="0.0\x"/>
    <numFmt numFmtId="169" formatCode="0"/>
    <numFmt numFmtId="170" formatCode="0.000"/>
    <numFmt numFmtId="171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</row>
    <row r="5" customFormat="false" ht="45.75" hidden="false" customHeight="true" outlineLevel="0" collapsed="false">
      <c r="A5" s="3" t="s">
        <v>3</v>
      </c>
    </row>
    <row r="6" customFormat="false" ht="45.75" hidden="false" customHeight="true" outlineLevel="0" collapsed="false">
      <c r="A6" s="3" t="s">
        <v>4</v>
      </c>
    </row>
    <row r="7" customFormat="false" ht="45.75" hidden="false" customHeight="true" outlineLevel="0" collapsed="false">
      <c r="A7" s="3" t="s">
        <v>5</v>
      </c>
    </row>
    <row r="8" customFormat="false" ht="45.75" hidden="false" customHeight="true" outlineLevel="0" collapsed="false">
      <c r="A8" s="3" t="s">
        <v>6</v>
      </c>
    </row>
    <row r="9" customFormat="false" ht="45.75" hidden="false" customHeight="tru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4" customFormat="false" ht="24.05" hidden="false" customHeight="fals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customFormat="false" ht="15" hidden="false" customHeight="false" outlineLevel="0" collapsed="false">
      <c r="A5" s="6" t="s">
        <v>19</v>
      </c>
      <c r="B5" s="6" t="s">
        <v>20</v>
      </c>
      <c r="C5" s="7" t="n">
        <v>92316.5</v>
      </c>
      <c r="D5" s="7" t="n">
        <v>24410.3</v>
      </c>
      <c r="E5" s="7" t="n">
        <v>4709.1</v>
      </c>
      <c r="F5" s="8" t="n">
        <f aca="false">E5/D5</f>
        <v>0.192914466434251</v>
      </c>
      <c r="G5" s="9" t="n">
        <f aca="false">C5/D5</f>
        <v>3.78186667103641</v>
      </c>
      <c r="H5" s="10" t="n">
        <f aca="false">C5/E5</f>
        <v>19.6038521161156</v>
      </c>
      <c r="I5" s="6" t="s">
        <v>21</v>
      </c>
    </row>
    <row r="6" customFormat="false" ht="15" hidden="false" customHeight="false" outlineLevel="0" collapsed="false">
      <c r="A6" s="6" t="s">
        <v>22</v>
      </c>
      <c r="B6" s="6" t="s">
        <v>20</v>
      </c>
      <c r="C6" s="7" t="n">
        <v>29345.1</v>
      </c>
      <c r="D6" s="7" t="n">
        <v>16421</v>
      </c>
      <c r="E6" s="7" t="n">
        <v>2698</v>
      </c>
      <c r="F6" s="8" t="n">
        <f aca="false">E6/D6</f>
        <v>0.164301808659643</v>
      </c>
      <c r="G6" s="9" t="n">
        <f aca="false">C6/D6</f>
        <v>1.78704707386883</v>
      </c>
      <c r="H6" s="10" t="n">
        <f aca="false">C6/E6</f>
        <v>10.8766123054114</v>
      </c>
      <c r="I6" s="6" t="s">
        <v>21</v>
      </c>
    </row>
    <row r="7" customFormat="false" ht="15" hidden="false" customHeight="false" outlineLevel="0" collapsed="false">
      <c r="A7" s="6" t="s">
        <v>23</v>
      </c>
      <c r="B7" s="6" t="s">
        <v>24</v>
      </c>
      <c r="C7" s="7" t="n">
        <v>3641233.6</v>
      </c>
      <c r="D7" s="7" t="n">
        <v>1945486</v>
      </c>
      <c r="E7" s="7" t="n">
        <v>361080</v>
      </c>
      <c r="F7" s="8" t="n">
        <f aca="false">E7/D7</f>
        <v>0.185598868354745</v>
      </c>
      <c r="G7" s="9" t="n">
        <f aca="false">C7/D7</f>
        <v>1.87163186987724</v>
      </c>
      <c r="H7" s="10" t="n">
        <f aca="false">C7/E7</f>
        <v>10.0842849230088</v>
      </c>
      <c r="I7" s="6" t="s">
        <v>21</v>
      </c>
    </row>
    <row r="8" customFormat="false" ht="15" hidden="false" customHeight="false" outlineLevel="0" collapsed="false">
      <c r="A8" s="6" t="s">
        <v>25</v>
      </c>
      <c r="B8" s="6" t="s">
        <v>24</v>
      </c>
      <c r="C8" s="7" t="n">
        <v>701160.3</v>
      </c>
      <c r="D8" s="7" t="n">
        <v>602968</v>
      </c>
      <c r="E8" s="7" t="n">
        <v>77297.7</v>
      </c>
      <c r="F8" s="8" t="n">
        <f aca="false">E8/D8</f>
        <v>0.12819536028446</v>
      </c>
      <c r="G8" s="9" t="n">
        <f aca="false">C8/D8</f>
        <v>1.16284827718884</v>
      </c>
      <c r="H8" s="10" t="n">
        <f aca="false">C8/E8</f>
        <v>9.07090767254394</v>
      </c>
      <c r="I8" s="6" t="s">
        <v>21</v>
      </c>
    </row>
    <row r="9" customFormat="false" ht="15" hidden="false" customHeight="false" outlineLevel="0" collapsed="false">
      <c r="A9" s="6" t="s">
        <v>26</v>
      </c>
      <c r="B9" s="6" t="s">
        <v>27</v>
      </c>
      <c r="C9" s="7" t="n">
        <v>2313578.1</v>
      </c>
      <c r="D9" s="7" t="n">
        <v>371869.3</v>
      </c>
      <c r="E9" s="7" t="n">
        <v>68878.9</v>
      </c>
      <c r="F9" s="8" t="n">
        <f aca="false">E9/D9</f>
        <v>0.185223410483199</v>
      </c>
      <c r="G9" s="9" t="n">
        <f aca="false">C9/D9</f>
        <v>6.22148184859573</v>
      </c>
      <c r="H9" s="10" t="n">
        <f aca="false">C9/E9</f>
        <v>33.5890686407594</v>
      </c>
      <c r="I9" s="6" t="s">
        <v>21</v>
      </c>
    </row>
    <row r="10" customFormat="false" ht="15" hidden="false" customHeight="false" outlineLevel="0" collapsed="false">
      <c r="A10" s="6" t="s">
        <v>28</v>
      </c>
      <c r="B10" s="6" t="s">
        <v>27</v>
      </c>
      <c r="C10" s="7" t="n">
        <v>516758.2</v>
      </c>
      <c r="D10" s="7" t="n">
        <v>122632.4</v>
      </c>
      <c r="E10" s="7" t="n">
        <v>18228.5</v>
      </c>
      <c r="F10" s="8" t="n">
        <f aca="false">E10/D10</f>
        <v>0.148643425391658</v>
      </c>
      <c r="G10" s="9" t="n">
        <f aca="false">C10/D10</f>
        <v>4.21387985556835</v>
      </c>
      <c r="H10" s="10" t="n">
        <f aca="false">C10/E10</f>
        <v>28.3489151603259</v>
      </c>
      <c r="I10" s="6" t="s">
        <v>21</v>
      </c>
    </row>
    <row r="11" customFormat="false" ht="15" hidden="false" customHeight="false" outlineLevel="0" collapsed="false">
      <c r="A11" s="6" t="s">
        <v>29</v>
      </c>
      <c r="B11" s="6" t="s">
        <v>30</v>
      </c>
      <c r="C11" s="7" t="n">
        <v>13169.4</v>
      </c>
      <c r="D11" s="7" t="n">
        <v>9894</v>
      </c>
      <c r="E11" s="7" t="n">
        <v>1068</v>
      </c>
      <c r="F11" s="8" t="n">
        <f aca="false">E11/D11</f>
        <v>0.10794420861128</v>
      </c>
      <c r="G11" s="9" t="n">
        <f aca="false">C11/D11</f>
        <v>1.3310491206792</v>
      </c>
      <c r="H11" s="10" t="n">
        <f aca="false">C11/E11</f>
        <v>12.3308988764045</v>
      </c>
      <c r="I11" s="6" t="s">
        <v>31</v>
      </c>
    </row>
    <row r="13" customFormat="false" ht="24.05" hidden="false" customHeight="false" outlineLevel="0" collapsed="false">
      <c r="A13" s="4" t="s">
        <v>32</v>
      </c>
      <c r="B13" s="5"/>
      <c r="C13" s="5"/>
      <c r="D13" s="5"/>
      <c r="E13" s="5"/>
      <c r="F13" s="5"/>
      <c r="G13" s="5" t="s">
        <v>16</v>
      </c>
      <c r="H13" s="5" t="s">
        <v>17</v>
      </c>
    </row>
    <row r="14" customFormat="false" ht="15" hidden="false" customHeight="false" outlineLevel="0" collapsed="false">
      <c r="A14" s="6" t="s">
        <v>33</v>
      </c>
      <c r="G14" s="9" t="n">
        <f aca="false">QUARTILE(G5:G10,1)</f>
        <v>1.80819327287093</v>
      </c>
      <c r="H14" s="10" t="n">
        <f aca="false">QUARTILE(H5:H10,1)</f>
        <v>10.2823667686094</v>
      </c>
    </row>
    <row r="15" customFormat="false" ht="15" hidden="false" customHeight="false" outlineLevel="0" collapsed="false">
      <c r="A15" s="6" t="s">
        <v>34</v>
      </c>
      <c r="G15" s="9" t="n">
        <f aca="false">MEDIAN(G5:G10)</f>
        <v>2.82674927045683</v>
      </c>
      <c r="H15" s="10" t="n">
        <f aca="false">MEDIAN(H5:H10)</f>
        <v>15.2402322107635</v>
      </c>
    </row>
    <row r="16" customFormat="false" ht="15" hidden="false" customHeight="false" outlineLevel="0" collapsed="false">
      <c r="A16" s="6" t="s">
        <v>35</v>
      </c>
      <c r="G16" s="9" t="n">
        <f aca="false">QUARTILE(G5:G10,3)</f>
        <v>4.10587655943536</v>
      </c>
      <c r="H16" s="10" t="n">
        <f aca="false">QUARTILE(H5:H10,3)</f>
        <v>26.1626493992733</v>
      </c>
    </row>
    <row r="18" customFormat="false" ht="15" hidden="false" customHeight="false" outlineLevel="0" collapsed="false">
      <c r="A18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7" min="3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24.05" hidden="false" customHeight="false" outlineLevel="0" collapsed="false">
      <c r="A4" s="4" t="s">
        <v>39</v>
      </c>
      <c r="B4" s="5" t="s">
        <v>11</v>
      </c>
      <c r="C4" s="5" t="s">
        <v>40</v>
      </c>
      <c r="D4" s="5" t="s">
        <v>41</v>
      </c>
      <c r="E4" s="5" t="s">
        <v>42</v>
      </c>
      <c r="F4" s="5" t="s">
        <v>16</v>
      </c>
      <c r="G4" s="5" t="s">
        <v>17</v>
      </c>
      <c r="H4" s="5" t="s">
        <v>43</v>
      </c>
    </row>
    <row r="5" customFormat="false" ht="15" hidden="false" customHeight="false" outlineLevel="0" collapsed="false">
      <c r="A5" s="6" t="s">
        <v>44</v>
      </c>
      <c r="B5" s="6" t="s">
        <v>20</v>
      </c>
      <c r="C5" s="7" t="n">
        <v>550</v>
      </c>
      <c r="D5" s="7" t="n">
        <v>2000</v>
      </c>
      <c r="F5" s="9" t="n">
        <f aca="false">C5/D5</f>
        <v>0.275</v>
      </c>
      <c r="H5" s="3" t="s">
        <v>45</v>
      </c>
    </row>
    <row r="6" customFormat="false" ht="24.05" hidden="false" customHeight="false" outlineLevel="0" collapsed="false">
      <c r="A6" s="6" t="s">
        <v>46</v>
      </c>
      <c r="B6" s="6" t="s">
        <v>20</v>
      </c>
      <c r="C6" s="7" t="n">
        <v>1150</v>
      </c>
      <c r="D6" s="7" t="n">
        <v>525</v>
      </c>
      <c r="F6" s="9" t="n">
        <f aca="false">C6/D6</f>
        <v>2.19047619047619</v>
      </c>
      <c r="H6" s="3" t="s">
        <v>47</v>
      </c>
    </row>
    <row r="7" customFormat="false" ht="24.05" hidden="false" customHeight="false" outlineLevel="0" collapsed="false">
      <c r="A7" s="6" t="s">
        <v>48</v>
      </c>
      <c r="B7" s="6" t="s">
        <v>30</v>
      </c>
      <c r="C7" s="7" t="n">
        <v>7500</v>
      </c>
      <c r="D7" s="7" t="n">
        <v>4090</v>
      </c>
      <c r="E7" s="11" t="n">
        <f aca="false">D7*0.158</f>
        <v>646.22</v>
      </c>
      <c r="F7" s="9" t="n">
        <f aca="false">C7/D7</f>
        <v>1.83374083129584</v>
      </c>
      <c r="G7" s="10" t="n">
        <f aca="false">C7/E7</f>
        <v>11.6059546284547</v>
      </c>
      <c r="H7" s="3" t="s">
        <v>49</v>
      </c>
    </row>
    <row r="8" customFormat="false" ht="24.05" hidden="false" customHeight="false" outlineLevel="0" collapsed="false">
      <c r="A8" s="6" t="s">
        <v>50</v>
      </c>
      <c r="B8" s="6" t="s">
        <v>30</v>
      </c>
      <c r="G8" s="12" t="n">
        <v>25</v>
      </c>
      <c r="H8" s="3" t="s">
        <v>51</v>
      </c>
    </row>
    <row r="10" customFormat="false" ht="24.05" hidden="false" customHeight="false" outlineLevel="0" collapsed="false">
      <c r="A10" s="6" t="s">
        <v>52</v>
      </c>
      <c r="B10" s="6" t="s">
        <v>20</v>
      </c>
      <c r="C10" s="13" t="n">
        <v>1350</v>
      </c>
      <c r="D10" s="13" t="n">
        <v>291</v>
      </c>
      <c r="E10" s="13" t="n">
        <v>65</v>
      </c>
      <c r="F10" s="9" t="n">
        <f aca="false">C10/D10</f>
        <v>4.63917525773196</v>
      </c>
      <c r="G10" s="10" t="n">
        <f aca="false">C10/E10</f>
        <v>20.7692307692308</v>
      </c>
      <c r="H10" s="3" t="s">
        <v>53</v>
      </c>
    </row>
    <row r="12" customFormat="false" ht="24.05" hidden="false" customHeight="false" outlineLevel="0" collapsed="false">
      <c r="A12" s="4" t="s">
        <v>54</v>
      </c>
      <c r="B12" s="5"/>
      <c r="C12" s="5"/>
      <c r="D12" s="5"/>
      <c r="E12" s="5"/>
      <c r="F12" s="5" t="s">
        <v>16</v>
      </c>
      <c r="G12" s="5" t="s">
        <v>17</v>
      </c>
    </row>
    <row r="13" customFormat="false" ht="15" hidden="false" customHeight="false" outlineLevel="0" collapsed="false">
      <c r="A13" s="6" t="s">
        <v>55</v>
      </c>
      <c r="F13" s="9" t="n">
        <f aca="false">MIN(F5:F8)</f>
        <v>0.275</v>
      </c>
      <c r="G13" s="10" t="n">
        <f aca="false">MIN(G5:G8)</f>
        <v>11.6059546284547</v>
      </c>
    </row>
    <row r="14" customFormat="false" ht="15" hidden="false" customHeight="false" outlineLevel="0" collapsed="false">
      <c r="A14" s="6" t="s">
        <v>34</v>
      </c>
      <c r="F14" s="9" t="n">
        <f aca="false">MEDIAN(F5:F8)</f>
        <v>1.83374083129584</v>
      </c>
      <c r="G14" s="10" t="n">
        <f aca="false">MEDIAN(G5:G8)</f>
        <v>18.3029773142274</v>
      </c>
    </row>
    <row r="15" customFormat="false" ht="15" hidden="false" customHeight="false" outlineLevel="0" collapsed="false">
      <c r="A15" s="6" t="s">
        <v>56</v>
      </c>
      <c r="F15" s="9" t="n">
        <f aca="false">MAX(F5:F8)</f>
        <v>2.19047619047619</v>
      </c>
      <c r="G15" s="10" t="n">
        <f aca="false">MAX(G5:G8)</f>
        <v>25</v>
      </c>
    </row>
    <row r="16" customFormat="false" ht="15" hidden="false" customHeight="false" outlineLevel="0" collapsed="false">
      <c r="A16" s="6" t="s">
        <v>57</v>
      </c>
      <c r="F16" s="14" t="n">
        <f aca="false">COUNT(F5:F8)</f>
        <v>3</v>
      </c>
      <c r="G16" s="14" t="n">
        <f aca="false">COUNT(G5:G8)</f>
        <v>2</v>
      </c>
    </row>
    <row r="17" customFormat="false" ht="15" hidden="false" customHeight="false" outlineLevel="0" collapsed="false">
      <c r="A17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4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4" t="s">
        <v>61</v>
      </c>
      <c r="B4" s="5" t="s">
        <v>62</v>
      </c>
      <c r="C4" s="5"/>
      <c r="D4" s="5"/>
      <c r="E4" s="5"/>
      <c r="F4" s="5"/>
      <c r="G4" s="5" t="s">
        <v>63</v>
      </c>
    </row>
    <row r="5" customFormat="false" ht="15" hidden="false" customHeight="false" outlineLevel="0" collapsed="false">
      <c r="A5" s="6" t="s">
        <v>64</v>
      </c>
      <c r="B5" s="13" t="n">
        <v>258.666666666667</v>
      </c>
      <c r="G5" s="6" t="s">
        <v>65</v>
      </c>
    </row>
    <row r="6" customFormat="false" ht="15" hidden="false" customHeight="false" outlineLevel="0" collapsed="false">
      <c r="A6" s="6" t="s">
        <v>66</v>
      </c>
      <c r="B6" s="13" t="n">
        <v>57.7777777777778</v>
      </c>
      <c r="G6" s="6" t="s">
        <v>67</v>
      </c>
    </row>
    <row r="7" customFormat="false" ht="15" hidden="false" customHeight="false" outlineLevel="0" collapsed="false">
      <c r="A7" s="6" t="s">
        <v>68</v>
      </c>
      <c r="B7" s="13" t="n">
        <v>271.6</v>
      </c>
      <c r="G7" s="6" t="s">
        <v>69</v>
      </c>
    </row>
    <row r="8" customFormat="false" ht="15" hidden="false" customHeight="false" outlineLevel="0" collapsed="false">
      <c r="A8" s="6" t="s">
        <v>70</v>
      </c>
      <c r="B8" s="13" t="n">
        <v>60.6666666666667</v>
      </c>
      <c r="G8" s="6" t="s">
        <v>71</v>
      </c>
    </row>
    <row r="11" customFormat="false" ht="15" hidden="false" customHeight="false" outlineLevel="0" collapsed="false">
      <c r="A11" s="15" t="s">
        <v>72</v>
      </c>
      <c r="B11" s="16"/>
      <c r="C11" s="16"/>
      <c r="D11" s="16"/>
      <c r="E11" s="16"/>
      <c r="F11" s="16"/>
      <c r="G11" s="16"/>
    </row>
    <row r="12" customFormat="false" ht="15" hidden="false" customHeight="false" outlineLevel="0" collapsed="false">
      <c r="A12" s="4" t="s">
        <v>73</v>
      </c>
      <c r="B12" s="5" t="s">
        <v>74</v>
      </c>
      <c r="C12" s="5" t="s">
        <v>75</v>
      </c>
      <c r="D12" s="5" t="s">
        <v>76</v>
      </c>
      <c r="E12" s="5" t="s">
        <v>77</v>
      </c>
      <c r="F12" s="5"/>
      <c r="G12" s="5"/>
    </row>
    <row r="13" customFormat="false" ht="15" hidden="false" customHeight="false" outlineLevel="0" collapsed="false">
      <c r="A13" s="6" t="s">
        <v>78</v>
      </c>
      <c r="B13" s="11" t="n">
        <f aca="false">B6</f>
        <v>57.7777777777778</v>
      </c>
      <c r="C13" s="17" t="n">
        <f aca="false">Comps!H14</f>
        <v>10.2823667686094</v>
      </c>
      <c r="D13" s="17" t="n">
        <f aca="false">Comps!H15</f>
        <v>15.2402322107635</v>
      </c>
      <c r="E13" s="17" t="n">
        <f aca="false">Comps!H16</f>
        <v>26.1626493992733</v>
      </c>
    </row>
    <row r="14" customFormat="false" ht="15" hidden="false" customHeight="false" outlineLevel="0" collapsed="false">
      <c r="A14" s="6" t="s">
        <v>79</v>
      </c>
      <c r="B14" s="11" t="n">
        <f aca="false">B8</f>
        <v>60.6666666666667</v>
      </c>
      <c r="C14" s="17" t="n">
        <f aca="false">Comps!H14</f>
        <v>10.2823667686094</v>
      </c>
      <c r="D14" s="17" t="n">
        <f aca="false">Comps!H15</f>
        <v>15.2402322107635</v>
      </c>
      <c r="E14" s="17" t="n">
        <f aca="false">Comps!H16</f>
        <v>26.1626493992733</v>
      </c>
    </row>
    <row r="15" customFormat="false" ht="15" hidden="false" customHeight="false" outlineLevel="0" collapsed="false">
      <c r="A15" s="6" t="s">
        <v>80</v>
      </c>
      <c r="B15" s="11" t="n">
        <f aca="false">B5</f>
        <v>258.666666666667</v>
      </c>
      <c r="C15" s="18" t="n">
        <f aca="false">Comps!G14</f>
        <v>1.80819327287093</v>
      </c>
      <c r="D15" s="18" t="n">
        <f aca="false">Comps!G15</f>
        <v>2.82674927045683</v>
      </c>
      <c r="E15" s="18" t="n">
        <f aca="false">Comps!G16</f>
        <v>4.10587655943536</v>
      </c>
    </row>
    <row r="16" customFormat="false" ht="15" hidden="false" customHeight="false" outlineLevel="0" collapsed="false">
      <c r="A16" s="6" t="s">
        <v>81</v>
      </c>
      <c r="B16" s="11" t="n">
        <f aca="false">B7</f>
        <v>271.6</v>
      </c>
      <c r="C16" s="18" t="n">
        <f aca="false">Comps!G14</f>
        <v>1.80819327287093</v>
      </c>
      <c r="D16" s="18" t="n">
        <f aca="false">Comps!G15</f>
        <v>2.82674927045683</v>
      </c>
      <c r="E16" s="18" t="n">
        <f aca="false">Comps!G16</f>
        <v>4.10587655943536</v>
      </c>
    </row>
    <row r="17" customFormat="false" ht="15" hidden="false" customHeight="false" outlineLevel="0" collapsed="false">
      <c r="A17" s="6" t="s">
        <v>82</v>
      </c>
      <c r="B17" s="11" t="n">
        <f aca="false">B6</f>
        <v>57.7777777777778</v>
      </c>
      <c r="C17" s="17" t="n">
        <f aca="false">Precedents!G13</f>
        <v>11.6059546284547</v>
      </c>
      <c r="D17" s="17" t="n">
        <f aca="false">Precedents!G14</f>
        <v>18.3029773142274</v>
      </c>
      <c r="E17" s="17" t="n">
        <f aca="false">Precedents!G15</f>
        <v>25</v>
      </c>
    </row>
    <row r="18" customFormat="false" ht="15" hidden="false" customHeight="false" outlineLevel="0" collapsed="false">
      <c r="A18" s="6" t="s">
        <v>83</v>
      </c>
      <c r="B18" s="11" t="n">
        <f aca="false">B8</f>
        <v>60.6666666666667</v>
      </c>
      <c r="C18" s="17" t="n">
        <f aca="false">Precedents!G13</f>
        <v>11.6059546284547</v>
      </c>
      <c r="D18" s="17" t="n">
        <f aca="false">Precedents!G14</f>
        <v>18.3029773142274</v>
      </c>
      <c r="E18" s="17" t="n">
        <f aca="false">Precedents!G15</f>
        <v>25</v>
      </c>
    </row>
    <row r="19" customFormat="false" ht="15" hidden="false" customHeight="false" outlineLevel="0" collapsed="false">
      <c r="A19" s="6" t="s">
        <v>84</v>
      </c>
      <c r="B19" s="11" t="n">
        <f aca="false">B5</f>
        <v>258.666666666667</v>
      </c>
      <c r="C19" s="18" t="n">
        <f aca="false">Precedents!F13</f>
        <v>0.275</v>
      </c>
      <c r="D19" s="18" t="n">
        <f aca="false">Precedents!F14</f>
        <v>1.83374083129584</v>
      </c>
      <c r="E19" s="18" t="n">
        <f aca="false">Precedents!F15</f>
        <v>2.19047619047619</v>
      </c>
    </row>
    <row r="20" customFormat="false" ht="15" hidden="false" customHeight="false" outlineLevel="0" collapsed="false">
      <c r="A20" s="6" t="s">
        <v>85</v>
      </c>
      <c r="B20" s="11" t="n">
        <f aca="false">B7</f>
        <v>271.6</v>
      </c>
      <c r="C20" s="18" t="n">
        <f aca="false">Precedents!F13</f>
        <v>0.275</v>
      </c>
      <c r="D20" s="18" t="n">
        <f aca="false">Precedents!F14</f>
        <v>1.83374083129584</v>
      </c>
      <c r="E20" s="18" t="n">
        <f aca="false">Precedents!F15</f>
        <v>2.19047619047619</v>
      </c>
    </row>
    <row r="22" customFormat="false" ht="15" hidden="false" customHeight="false" outlineLevel="0" collapsed="false">
      <c r="A22" s="15" t="s">
        <v>86</v>
      </c>
      <c r="B22" s="16"/>
      <c r="C22" s="16"/>
      <c r="D22" s="16"/>
      <c r="E22" s="16"/>
      <c r="F22" s="16"/>
      <c r="G22" s="16"/>
    </row>
    <row r="23" customFormat="false" ht="15" hidden="false" customHeight="false" outlineLevel="0" collapsed="false">
      <c r="A23" s="4" t="s">
        <v>73</v>
      </c>
      <c r="B23" s="5"/>
      <c r="C23" s="5" t="s">
        <v>75</v>
      </c>
      <c r="D23" s="5" t="s">
        <v>76</v>
      </c>
      <c r="E23" s="5" t="s">
        <v>77</v>
      </c>
      <c r="F23" s="5"/>
      <c r="G23" s="5"/>
    </row>
    <row r="24" customFormat="false" ht="15" hidden="false" customHeight="false" outlineLevel="0" collapsed="false">
      <c r="A24" s="6" t="s">
        <v>78</v>
      </c>
      <c r="C24" s="11" t="n">
        <f aca="false">$B13*C13</f>
        <v>594.092302186322</v>
      </c>
      <c r="D24" s="11" t="n">
        <f aca="false">$B13*D13</f>
        <v>880.546749955225</v>
      </c>
      <c r="E24" s="11" t="n">
        <f aca="false">$B13*E13</f>
        <v>1511.61974306912</v>
      </c>
    </row>
    <row r="25" customFormat="false" ht="15" hidden="false" customHeight="false" outlineLevel="0" collapsed="false">
      <c r="A25" s="6" t="s">
        <v>79</v>
      </c>
      <c r="C25" s="11" t="n">
        <f aca="false">$B14*C14</f>
        <v>623.796917295638</v>
      </c>
      <c r="D25" s="11" t="n">
        <f aca="false">$B14*D14</f>
        <v>924.574087452987</v>
      </c>
      <c r="E25" s="11" t="n">
        <f aca="false">$B14*E14</f>
        <v>1587.20073022258</v>
      </c>
    </row>
    <row r="26" customFormat="false" ht="15" hidden="false" customHeight="false" outlineLevel="0" collapsed="false">
      <c r="A26" s="6" t="s">
        <v>80</v>
      </c>
      <c r="C26" s="11" t="n">
        <f aca="false">$B15*C15</f>
        <v>467.719326582615</v>
      </c>
      <c r="D26" s="11" t="n">
        <f aca="false">$B15*D15</f>
        <v>731.1858112915</v>
      </c>
      <c r="E26" s="11" t="n">
        <f aca="false">$B15*E15</f>
        <v>1062.05340337395</v>
      </c>
    </row>
    <row r="27" customFormat="false" ht="15" hidden="false" customHeight="false" outlineLevel="0" collapsed="false">
      <c r="A27" s="6" t="s">
        <v>81</v>
      </c>
      <c r="C27" s="11" t="n">
        <f aca="false">$B16*C16</f>
        <v>491.105292911745</v>
      </c>
      <c r="D27" s="11" t="n">
        <f aca="false">$B16*D16</f>
        <v>767.745101856074</v>
      </c>
      <c r="E27" s="11" t="n">
        <f aca="false">$B16*E16</f>
        <v>1115.15607354264</v>
      </c>
    </row>
    <row r="28" customFormat="false" ht="15" hidden="false" customHeight="false" outlineLevel="0" collapsed="false">
      <c r="A28" s="6" t="s">
        <v>82</v>
      </c>
      <c r="C28" s="11" t="n">
        <f aca="false">$B17*C17</f>
        <v>670.566267421828</v>
      </c>
      <c r="D28" s="11" t="n">
        <f aca="false">$B17*D17</f>
        <v>1057.50535593314</v>
      </c>
      <c r="E28" s="11" t="n">
        <f aca="false">$B17*E17</f>
        <v>1444.44444444445</v>
      </c>
    </row>
    <row r="29" customFormat="false" ht="15" hidden="false" customHeight="false" outlineLevel="0" collapsed="false">
      <c r="A29" s="6" t="s">
        <v>83</v>
      </c>
      <c r="C29" s="11" t="n">
        <f aca="false">$B18*C18</f>
        <v>704.094580792919</v>
      </c>
      <c r="D29" s="11" t="n">
        <f aca="false">$B18*D18</f>
        <v>1110.38062372979</v>
      </c>
      <c r="E29" s="11" t="n">
        <f aca="false">$B18*E18</f>
        <v>1516.66666666667</v>
      </c>
    </row>
    <row r="30" customFormat="false" ht="15" hidden="false" customHeight="false" outlineLevel="0" collapsed="false">
      <c r="A30" s="6" t="s">
        <v>84</v>
      </c>
      <c r="C30" s="11" t="n">
        <f aca="false">$B19*C19</f>
        <v>71.1333333333334</v>
      </c>
      <c r="D30" s="11" t="n">
        <f aca="false">$B19*D19</f>
        <v>474.327628361859</v>
      </c>
      <c r="E30" s="11" t="n">
        <f aca="false">$B19*E19</f>
        <v>566.603174603176</v>
      </c>
    </row>
    <row r="31" customFormat="false" ht="15" hidden="false" customHeight="false" outlineLevel="0" collapsed="false">
      <c r="A31" s="6" t="s">
        <v>85</v>
      </c>
      <c r="C31" s="11" t="n">
        <f aca="false">$B20*C20</f>
        <v>74.69</v>
      </c>
      <c r="D31" s="11" t="n">
        <f aca="false">$B20*D20</f>
        <v>498.044009779951</v>
      </c>
      <c r="E31" s="11" t="n">
        <f aca="false">$B20*E20</f>
        <v>594.933333333333</v>
      </c>
    </row>
    <row r="33" customFormat="false" ht="15" hidden="false" customHeight="false" outlineLevel="0" collapsed="false">
      <c r="A33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5" min="3" style="0" width="13"/>
    <col collapsed="false" customWidth="true" hidden="false" outlineLevel="0" max="6" min="6" style="0" width="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19" t="s">
        <v>89</v>
      </c>
    </row>
    <row r="4" customFormat="false" ht="15" hidden="false" customHeight="false" outlineLevel="0" collapsed="false">
      <c r="A4" s="15" t="s">
        <v>90</v>
      </c>
      <c r="B4" s="16"/>
      <c r="C4" s="16"/>
      <c r="D4" s="16"/>
      <c r="E4" s="16"/>
      <c r="F4" s="16"/>
      <c r="G4" s="16"/>
    </row>
    <row r="5" customFormat="false" ht="30" hidden="false" customHeight="true" outlineLevel="0" collapsed="false">
      <c r="A5" s="20" t="s">
        <v>91</v>
      </c>
      <c r="B5" s="20"/>
      <c r="C5" s="20"/>
      <c r="D5" s="20"/>
      <c r="E5" s="20"/>
      <c r="F5" s="20"/>
      <c r="G5" s="20"/>
    </row>
    <row r="6" customFormat="false" ht="30" hidden="false" customHeight="true" outlineLevel="0" collapsed="false">
      <c r="A6" s="20" t="s">
        <v>92</v>
      </c>
      <c r="B6" s="20"/>
      <c r="C6" s="20"/>
      <c r="D6" s="20"/>
      <c r="E6" s="20"/>
      <c r="F6" s="20"/>
      <c r="G6" s="20"/>
    </row>
    <row r="7" customFormat="false" ht="30" hidden="false" customHeight="true" outlineLevel="0" collapsed="false">
      <c r="A7" s="20" t="s">
        <v>93</v>
      </c>
      <c r="B7" s="20"/>
      <c r="C7" s="20"/>
      <c r="D7" s="20"/>
      <c r="E7" s="20"/>
      <c r="F7" s="20"/>
      <c r="G7" s="20"/>
    </row>
    <row r="8" customFormat="false" ht="30" hidden="false" customHeight="true" outlineLevel="0" collapsed="false">
      <c r="A8" s="20" t="s">
        <v>94</v>
      </c>
      <c r="B8" s="20"/>
      <c r="C8" s="20"/>
      <c r="D8" s="20"/>
      <c r="E8" s="20"/>
      <c r="F8" s="20"/>
      <c r="G8" s="20"/>
    </row>
    <row r="10" customFormat="false" ht="15" hidden="false" customHeight="false" outlineLevel="0" collapsed="false">
      <c r="A10" s="4" t="s">
        <v>73</v>
      </c>
      <c r="B10" s="5" t="s">
        <v>95</v>
      </c>
      <c r="C10" s="5" t="s">
        <v>75</v>
      </c>
      <c r="D10" s="5" t="s">
        <v>76</v>
      </c>
      <c r="E10" s="5" t="s">
        <v>77</v>
      </c>
      <c r="F10" s="5"/>
      <c r="G10" s="5" t="s">
        <v>96</v>
      </c>
    </row>
    <row r="11" customFormat="false" ht="15" hidden="false" customHeight="false" outlineLevel="0" collapsed="false">
      <c r="A11" s="6" t="s">
        <v>97</v>
      </c>
      <c r="B11" s="21" t="n">
        <v>0.25</v>
      </c>
      <c r="C11" s="13" t="n">
        <v>618.105902335867</v>
      </c>
      <c r="D11" s="13" t="n">
        <v>712.653406213068</v>
      </c>
      <c r="E11" s="13" t="n">
        <v>845.996667479824</v>
      </c>
      <c r="G11" s="6" t="s">
        <v>98</v>
      </c>
    </row>
    <row r="12" customFormat="false" ht="15" hidden="false" customHeight="false" outlineLevel="0" collapsed="false">
      <c r="A12" s="6" t="s">
        <v>99</v>
      </c>
      <c r="B12" s="21" t="n">
        <v>0.075</v>
      </c>
      <c r="C12" s="13" t="n">
        <v>741.287696792603</v>
      </c>
      <c r="D12" s="13" t="n">
        <v>853.744956789202</v>
      </c>
      <c r="E12" s="13" t="n">
        <v>1012.33076501811</v>
      </c>
      <c r="G12" s="6" t="s">
        <v>100</v>
      </c>
    </row>
    <row r="13" customFormat="false" ht="15" hidden="false" customHeight="false" outlineLevel="0" collapsed="false">
      <c r="A13" s="6" t="s">
        <v>101</v>
      </c>
      <c r="B13" s="21" t="n">
        <v>0.075</v>
      </c>
      <c r="C13" s="13" t="n">
        <v>509.658320109114</v>
      </c>
      <c r="D13" s="13" t="n">
        <v>586.198421109987</v>
      </c>
      <c r="E13" s="13" t="n">
        <v>694.097258352378</v>
      </c>
      <c r="G13" s="6" t="s">
        <v>102</v>
      </c>
    </row>
    <row r="14" customFormat="false" ht="15" hidden="false" customHeight="false" outlineLevel="0" collapsed="false">
      <c r="A14" s="6" t="s">
        <v>103</v>
      </c>
      <c r="B14" s="21" t="n">
        <v>0.25</v>
      </c>
      <c r="C14" s="22" t="n">
        <f aca="false">Implied_Valuation!C24</f>
        <v>594.092302186322</v>
      </c>
      <c r="D14" s="22" t="n">
        <f aca="false">Implied_Valuation!D24</f>
        <v>880.546749955225</v>
      </c>
      <c r="E14" s="22" t="n">
        <f aca="false">Implied_Valuation!E24</f>
        <v>1511.61974306912</v>
      </c>
      <c r="G14" s="6" t="s">
        <v>104</v>
      </c>
    </row>
    <row r="15" customFormat="false" ht="15" hidden="false" customHeight="false" outlineLevel="0" collapsed="false">
      <c r="A15" s="6" t="s">
        <v>105</v>
      </c>
      <c r="B15" s="21" t="n">
        <v>0.1</v>
      </c>
      <c r="C15" s="22" t="n">
        <f aca="false">Implied_Valuation!C26</f>
        <v>467.719326582615</v>
      </c>
      <c r="D15" s="22" t="n">
        <f aca="false">Implied_Valuation!D26</f>
        <v>731.1858112915</v>
      </c>
      <c r="E15" s="22" t="n">
        <f aca="false">Implied_Valuation!E26</f>
        <v>1062.05340337395</v>
      </c>
      <c r="G15" s="6" t="s">
        <v>104</v>
      </c>
    </row>
    <row r="16" customFormat="false" ht="15" hidden="false" customHeight="false" outlineLevel="0" collapsed="false">
      <c r="A16" s="6" t="s">
        <v>106</v>
      </c>
      <c r="B16" s="21" t="n">
        <v>0.15</v>
      </c>
      <c r="C16" s="22" t="n">
        <f aca="false">Implied_Valuation!C28</f>
        <v>670.566267421828</v>
      </c>
      <c r="D16" s="22" t="n">
        <f aca="false">Implied_Valuation!D28</f>
        <v>1057.50535593314</v>
      </c>
      <c r="E16" s="22" t="n">
        <f aca="false">Implied_Valuation!E28</f>
        <v>1444.44444444445</v>
      </c>
      <c r="G16" s="6" t="s">
        <v>107</v>
      </c>
    </row>
    <row r="17" customFormat="false" ht="15" hidden="false" customHeight="false" outlineLevel="0" collapsed="false">
      <c r="A17" s="6" t="s">
        <v>108</v>
      </c>
      <c r="B17" s="21" t="n">
        <v>0.1</v>
      </c>
      <c r="C17" s="22" t="n">
        <f aca="false">Implied_Valuation!C30</f>
        <v>71.1333333333334</v>
      </c>
      <c r="D17" s="22" t="n">
        <f aca="false">Implied_Valuation!D30</f>
        <v>474.327628361859</v>
      </c>
      <c r="E17" s="22" t="n">
        <f aca="false">Implied_Valuation!E30</f>
        <v>566.603174603176</v>
      </c>
      <c r="G17" s="6" t="s">
        <v>109</v>
      </c>
    </row>
    <row r="18" customFormat="false" ht="15" hidden="false" customHeight="false" outlineLevel="0" collapsed="false">
      <c r="A18" s="23" t="s">
        <v>110</v>
      </c>
      <c r="B18" s="8" t="n">
        <f aca="false">SUM(B11:B17)</f>
        <v>1</v>
      </c>
    </row>
    <row r="19" customFormat="false" ht="15" hidden="false" customHeight="false" outlineLevel="0" collapsed="false">
      <c r="A19" s="23" t="s">
        <v>111</v>
      </c>
      <c r="C19" s="24" t="n">
        <f aca="false">SUMPRODUCT($B$11:$B$17,C11:C17)</f>
        <v>551.340708503045</v>
      </c>
      <c r="D19" s="24" t="n">
        <f aca="false">SUMPRODUCT($B$11:$B$17,D11:D17)</f>
        <v>785.472939739819</v>
      </c>
      <c r="E19" s="24" t="n">
        <f aca="false">SUMPRODUCT($B$11:$B$17,E11:E17)</f>
        <v>1096.9185288544</v>
      </c>
    </row>
    <row r="20" customFormat="false" ht="15" hidden="false" customHeight="false" outlineLevel="0" collapsed="false">
      <c r="A20" s="23" t="s">
        <v>112</v>
      </c>
      <c r="C20" s="25" t="n">
        <f aca="false">MROUND(C19,25)</f>
        <v>550</v>
      </c>
      <c r="D20" s="25" t="n">
        <f aca="false">MROUND(D19,25)</f>
        <v>775</v>
      </c>
      <c r="E20" s="25" t="n">
        <f aca="false">MROUND(E19,25)</f>
        <v>1100</v>
      </c>
    </row>
    <row r="21" customFormat="false" ht="15" hidden="false" customHeight="false" outlineLevel="0" collapsed="false">
      <c r="A21" s="6" t="s">
        <v>113</v>
      </c>
      <c r="D21" s="10" t="n">
        <f aca="false">D20/Implied_Valuation!B6</f>
        <v>13.4134615384615</v>
      </c>
    </row>
    <row r="22" customFormat="false" ht="15" hidden="false" customHeight="false" outlineLevel="0" collapsed="false">
      <c r="A22" s="6" t="s">
        <v>114</v>
      </c>
      <c r="D22" s="11" t="n">
        <f aca="false">D11-712.653406213068</f>
        <v>0</v>
      </c>
    </row>
    <row r="24" customFormat="false" ht="15" hidden="false" customHeight="false" outlineLevel="0" collapsed="false">
      <c r="A24" s="2" t="s">
        <v>115</v>
      </c>
    </row>
  </sheetData>
  <mergeCells count="4">
    <mergeCell ref="A5:G5"/>
    <mergeCell ref="A6:G6"/>
    <mergeCell ref="A7:G7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16"/>
    <col collapsed="false" customWidth="true" hidden="false" outlineLevel="0" max="5" min="4" style="0" width="2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19" t="s">
        <v>117</v>
      </c>
    </row>
    <row r="4" customFormat="false" ht="15" hidden="false" customHeight="false" outlineLevel="0" collapsed="false">
      <c r="A4" s="4" t="s">
        <v>118</v>
      </c>
      <c r="B4" s="5" t="s">
        <v>62</v>
      </c>
      <c r="C4" s="5"/>
      <c r="D4" s="5"/>
      <c r="E4" s="5"/>
      <c r="F4" s="5" t="s">
        <v>119</v>
      </c>
    </row>
    <row r="5" customFormat="false" ht="15" hidden="false" customHeight="false" outlineLevel="0" collapsed="false">
      <c r="A5" s="6" t="s">
        <v>120</v>
      </c>
      <c r="B5" s="13" t="n">
        <v>1200</v>
      </c>
      <c r="F5" s="6" t="s">
        <v>121</v>
      </c>
    </row>
    <row r="6" customFormat="false" ht="15" hidden="false" customHeight="false" outlineLevel="0" collapsed="false">
      <c r="A6" s="6" t="s">
        <v>122</v>
      </c>
      <c r="B6" s="13" t="n">
        <v>1350</v>
      </c>
      <c r="F6" s="6" t="s">
        <v>123</v>
      </c>
    </row>
    <row r="7" customFormat="false" ht="15" hidden="false" customHeight="false" outlineLevel="0" collapsed="false">
      <c r="A7" s="6" t="s">
        <v>124</v>
      </c>
      <c r="B7" s="26" t="n">
        <v>1.125</v>
      </c>
      <c r="F7" s="6" t="s">
        <v>125</v>
      </c>
    </row>
    <row r="8" customFormat="false" ht="15" hidden="false" customHeight="false" outlineLevel="0" collapsed="false">
      <c r="A8" s="6" t="s">
        <v>126</v>
      </c>
      <c r="B8" s="13" t="n">
        <v>57.7777777777778</v>
      </c>
      <c r="F8" s="6" t="s">
        <v>127</v>
      </c>
    </row>
    <row r="9" customFormat="false" ht="15" hidden="false" customHeight="false" outlineLevel="0" collapsed="false">
      <c r="A9" s="6" t="s">
        <v>128</v>
      </c>
      <c r="B9" s="13" t="n">
        <v>258.666666666667</v>
      </c>
      <c r="F9" s="6" t="s">
        <v>127</v>
      </c>
    </row>
    <row r="10" customFormat="false" ht="15" hidden="false" customHeight="false" outlineLevel="0" collapsed="false">
      <c r="A10" s="6" t="s">
        <v>129</v>
      </c>
      <c r="B10" s="13" t="n">
        <v>60.6666666666667</v>
      </c>
      <c r="F10" s="6" t="s">
        <v>130</v>
      </c>
    </row>
    <row r="11" customFormat="false" ht="15" hidden="false" customHeight="false" outlineLevel="0" collapsed="false">
      <c r="A11" s="6" t="s">
        <v>131</v>
      </c>
      <c r="B11" s="13" t="n">
        <v>76.2666666666667</v>
      </c>
      <c r="F11" s="6" t="s">
        <v>132</v>
      </c>
    </row>
    <row r="12" customFormat="false" ht="15" hidden="false" customHeight="false" outlineLevel="0" collapsed="false">
      <c r="A12" s="6" t="s">
        <v>133</v>
      </c>
      <c r="B12" s="13" t="n">
        <v>900</v>
      </c>
      <c r="F12" s="6" t="s">
        <v>134</v>
      </c>
    </row>
    <row r="14" customFormat="false" ht="15" hidden="false" customHeight="false" outlineLevel="0" collapsed="false">
      <c r="A14" s="15" t="s">
        <v>135</v>
      </c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6" t="s">
        <v>136</v>
      </c>
      <c r="B15" s="10" t="n">
        <f aca="false">B5/B8</f>
        <v>20.7692307692308</v>
      </c>
    </row>
    <row r="16" customFormat="false" ht="15" hidden="false" customHeight="false" outlineLevel="0" collapsed="false">
      <c r="A16" s="6" t="s">
        <v>137</v>
      </c>
      <c r="B16" s="10" t="n">
        <f aca="false">B5/B10</f>
        <v>19.7802197802198</v>
      </c>
    </row>
    <row r="17" customFormat="false" ht="15" hidden="false" customHeight="false" outlineLevel="0" collapsed="false">
      <c r="A17" s="6" t="s">
        <v>138</v>
      </c>
      <c r="B17" s="10" t="n">
        <f aca="false">B5/B11</f>
        <v>15.7342657342657</v>
      </c>
    </row>
    <row r="18" customFormat="false" ht="15" hidden="false" customHeight="false" outlineLevel="0" collapsed="false">
      <c r="A18" s="6" t="s">
        <v>139</v>
      </c>
      <c r="B18" s="9" t="n">
        <f aca="false">B5/B9</f>
        <v>4.63917525773195</v>
      </c>
    </row>
    <row r="20" customFormat="false" ht="15" hidden="false" customHeight="false" outlineLevel="0" collapsed="false">
      <c r="A20" s="15" t="s">
        <v>140</v>
      </c>
      <c r="B20" s="16"/>
      <c r="C20" s="16"/>
      <c r="D20" s="16"/>
      <c r="E20" s="16"/>
      <c r="F20" s="16"/>
    </row>
    <row r="21" customFormat="false" ht="24.05" hidden="false" customHeight="false" outlineLevel="0" collapsed="false">
      <c r="A21" s="4" t="s">
        <v>73</v>
      </c>
      <c r="B21" s="5" t="s">
        <v>95</v>
      </c>
      <c r="C21" s="5" t="s">
        <v>141</v>
      </c>
      <c r="D21" s="5" t="s">
        <v>142</v>
      </c>
      <c r="E21" s="5" t="s">
        <v>143</v>
      </c>
      <c r="F21" s="5"/>
    </row>
    <row r="22" customFormat="false" ht="15" hidden="false" customHeight="false" outlineLevel="0" collapsed="false">
      <c r="A22" s="27" t="str">
        <f aca="false">Triangulation!A11</f>
        <v>DCF - Base case</v>
      </c>
      <c r="B22" s="28" t="n">
        <f aca="false">Triangulation!B11</f>
        <v>0.25</v>
      </c>
      <c r="C22" s="22" t="n">
        <f aca="false">Triangulation!D11</f>
        <v>712.653406213068</v>
      </c>
      <c r="D22" s="11" t="n">
        <f aca="false">$B$5-C22</f>
        <v>487.346593786932</v>
      </c>
      <c r="E22" s="8" t="n">
        <f aca="false">$B$5/C22-1</f>
        <v>0.683847982116044</v>
      </c>
    </row>
    <row r="23" customFormat="false" ht="15" hidden="false" customHeight="false" outlineLevel="0" collapsed="false">
      <c r="A23" s="27" t="str">
        <f aca="false">Triangulation!A12</f>
        <v>DCF - Buyer case</v>
      </c>
      <c r="B23" s="28" t="n">
        <f aca="false">Triangulation!B12</f>
        <v>0.075</v>
      </c>
      <c r="C23" s="22" t="n">
        <f aca="false">Triangulation!D12</f>
        <v>853.744956789202</v>
      </c>
      <c r="D23" s="11" t="n">
        <f aca="false">$B$5-C23</f>
        <v>346.255043210798</v>
      </c>
      <c r="E23" s="8" t="n">
        <f aca="false">$B$5/C23-1</f>
        <v>0.405571992498799</v>
      </c>
    </row>
    <row r="24" customFormat="false" ht="15" hidden="false" customHeight="false" outlineLevel="0" collapsed="false">
      <c r="A24" s="27" t="str">
        <f aca="false">Triangulation!A13</f>
        <v>DCF - Downside case</v>
      </c>
      <c r="B24" s="28" t="n">
        <f aca="false">Triangulation!B13</f>
        <v>0.075</v>
      </c>
      <c r="C24" s="22" t="n">
        <f aca="false">Triangulation!D13</f>
        <v>586.198421109987</v>
      </c>
      <c r="D24" s="11" t="n">
        <f aca="false">$B$5-C24</f>
        <v>613.801578890013</v>
      </c>
      <c r="E24" s="8" t="n">
        <f aca="false">$B$5/C24-1</f>
        <v>1.0470884205518</v>
      </c>
    </row>
    <row r="25" customFormat="false" ht="15" hidden="false" customHeight="false" outlineLevel="0" collapsed="false">
      <c r="A25" s="27" t="str">
        <f aca="false">Triangulation!A14</f>
        <v>Trading comps - EV/EBITDA (FY25 reported)</v>
      </c>
      <c r="B25" s="28" t="n">
        <f aca="false">Triangulation!B14</f>
        <v>0.25</v>
      </c>
      <c r="C25" s="22" t="n">
        <f aca="false">Triangulation!D14</f>
        <v>880.546749955225</v>
      </c>
      <c r="D25" s="11" t="n">
        <f aca="false">$B$5-C25</f>
        <v>319.453250044775</v>
      </c>
      <c r="E25" s="8" t="n">
        <f aca="false">$B$5/C25-1</f>
        <v>0.36278965320242</v>
      </c>
    </row>
    <row r="26" customFormat="false" ht="15" hidden="false" customHeight="false" outlineLevel="0" collapsed="false">
      <c r="A26" s="27" t="str">
        <f aca="false">Triangulation!A15</f>
        <v>Trading comps - EV/Revenue (FY25 reported)</v>
      </c>
      <c r="B26" s="28" t="n">
        <f aca="false">Triangulation!B15</f>
        <v>0.1</v>
      </c>
      <c r="C26" s="22" t="n">
        <f aca="false">Triangulation!D15</f>
        <v>731.1858112915</v>
      </c>
      <c r="D26" s="11" t="n">
        <f aca="false">$B$5-C26</f>
        <v>468.8141887085</v>
      </c>
      <c r="E26" s="8" t="n">
        <f aca="false">$B$5/C26-1</f>
        <v>0.641169701967315</v>
      </c>
    </row>
    <row r="27" customFormat="false" ht="15" hidden="false" customHeight="false" outlineLevel="0" collapsed="false">
      <c r="A27" s="27" t="str">
        <f aca="false">Triangulation!A16</f>
        <v>Precedents - EV/EBITDA (FY25 reported)</v>
      </c>
      <c r="B27" s="28" t="n">
        <f aca="false">Triangulation!B16</f>
        <v>0.15</v>
      </c>
      <c r="C27" s="22" t="n">
        <f aca="false">Triangulation!D16</f>
        <v>1057.50535593314</v>
      </c>
      <c r="D27" s="11" t="n">
        <f aca="false">$B$5-C27</f>
        <v>142.494644066864</v>
      </c>
      <c r="E27" s="8" t="n">
        <f aca="false">$B$5/C27-1</f>
        <v>0.134746025887621</v>
      </c>
    </row>
    <row r="28" customFormat="false" ht="15" hidden="false" customHeight="false" outlineLevel="0" collapsed="false">
      <c r="A28" s="27" t="str">
        <f aca="false">Triangulation!A17</f>
        <v>Precedents - EV/Revenue (FY25 reported)</v>
      </c>
      <c r="B28" s="28" t="n">
        <f aca="false">Triangulation!B17</f>
        <v>0.1</v>
      </c>
      <c r="C28" s="22" t="n">
        <f aca="false">Triangulation!D17</f>
        <v>474.327628361859</v>
      </c>
      <c r="D28" s="11" t="n">
        <f aca="false">$B$5-C28</f>
        <v>725.672371638141</v>
      </c>
      <c r="E28" s="8" t="n">
        <f aca="false">$B$5/C28-1</f>
        <v>1.52989690721649</v>
      </c>
    </row>
    <row r="29" customFormat="false" ht="15" hidden="false" customHeight="false" outlineLevel="0" collapsed="false">
      <c r="A29" s="23" t="s">
        <v>144</v>
      </c>
      <c r="C29" s="29" t="n">
        <f aca="false">Triangulation!D19</f>
        <v>785.472939739819</v>
      </c>
      <c r="D29" s="25" t="n">
        <f aca="false">$B$5-C29</f>
        <v>414.527060260181</v>
      </c>
      <c r="E29" s="30" t="n">
        <f aca="false">$B$5/C29-1</f>
        <v>0.527742000122232</v>
      </c>
    </row>
    <row r="30" customFormat="false" ht="15" hidden="false" customHeight="false" outlineLevel="0" collapsed="false">
      <c r="A30" s="6" t="s">
        <v>145</v>
      </c>
      <c r="C30" s="6" t="str">
        <f aca="false">IF($B$5&gt;Triangulation!E19,"above the high end",IF($B$5&lt;Triangulation!C19,"below the low end","inside the range"))</f>
        <v>above the high end</v>
      </c>
    </row>
    <row r="31" customFormat="false" ht="15" hidden="false" customHeight="false" outlineLevel="0" collapsed="false">
      <c r="A31" s="6" t="s">
        <v>146</v>
      </c>
      <c r="C31" s="11" t="n">
        <f aca="false">MAX(C22:C28)</f>
        <v>1057.50535593314</v>
      </c>
      <c r="D31" s="11" t="n">
        <f aca="false">MIN(C22:C28)</f>
        <v>474.327628361859</v>
      </c>
    </row>
    <row r="32" customFormat="false" ht="15" hidden="false" customHeight="false" outlineLevel="0" collapsed="false">
      <c r="A32" s="6" t="s">
        <v>147</v>
      </c>
      <c r="C32" s="14" t="n">
        <f aca="false">SUMPRODUCT(--(Triangulation!E11:E17&gt;=B5))</f>
        <v>2</v>
      </c>
    </row>
    <row r="34" customFormat="false" ht="15" hidden="false" customHeight="false" outlineLevel="0" collapsed="false">
      <c r="A34" s="15" t="s">
        <v>148</v>
      </c>
      <c r="B34" s="16"/>
      <c r="C34" s="16"/>
      <c r="D34" s="16"/>
      <c r="E34" s="16"/>
      <c r="F34" s="16"/>
    </row>
    <row r="35" customFormat="false" ht="24.05" hidden="false" customHeight="false" outlineLevel="0" collapsed="false">
      <c r="A35" s="4" t="s">
        <v>149</v>
      </c>
      <c r="B35" s="5"/>
      <c r="C35" s="5" t="s">
        <v>150</v>
      </c>
      <c r="D35" s="5" t="s">
        <v>142</v>
      </c>
      <c r="E35" s="5" t="s">
        <v>143</v>
      </c>
      <c r="F35" s="5"/>
    </row>
    <row r="36" customFormat="false" ht="15" hidden="false" customHeight="false" outlineLevel="0" collapsed="false">
      <c r="A36" s="6" t="s">
        <v>151</v>
      </c>
      <c r="C36" s="11" t="n">
        <f aca="false">0.25*C22+0.075*C23+0.075*C24+0.25*C25+0.1*C26+0.15*C27+0.1*C28</f>
        <v>785.472939739819</v>
      </c>
      <c r="D36" s="11" t="n">
        <f aca="false">$B$5-C36</f>
        <v>414.527060260181</v>
      </c>
      <c r="E36" s="8" t="n">
        <f aca="false">$B$5/C36-1</f>
        <v>0.527742000122232</v>
      </c>
    </row>
    <row r="37" customFormat="false" ht="15" hidden="false" customHeight="false" outlineLevel="0" collapsed="false">
      <c r="A37" s="6" t="s">
        <v>152</v>
      </c>
      <c r="C37" s="11" t="n">
        <f aca="false">0.142857*C22+0.142857*C23+0.142857*C24+0.142857*C25+0.142857*C26+0.142857*C27+0.142857*C28</f>
        <v>756.593861927378</v>
      </c>
      <c r="D37" s="11" t="n">
        <f aca="false">$B$5-C37</f>
        <v>443.406138072622</v>
      </c>
      <c r="E37" s="8" t="n">
        <f aca="false">$B$5/C37-1</f>
        <v>0.586055690358194</v>
      </c>
    </row>
    <row r="38" customFormat="false" ht="15" hidden="false" customHeight="false" outlineLevel="0" collapsed="false">
      <c r="A38" s="6" t="s">
        <v>153</v>
      </c>
      <c r="C38" s="11" t="n">
        <f aca="false">0.5*C22+0.25*C23+0.25*C24</f>
        <v>716.312547581331</v>
      </c>
      <c r="D38" s="11" t="n">
        <f aca="false">$B$5-C38</f>
        <v>483.687452418669</v>
      </c>
      <c r="E38" s="8" t="n">
        <f aca="false">$B$5/C38-1</f>
        <v>0.675246376811164</v>
      </c>
    </row>
    <row r="39" customFormat="false" ht="15" hidden="false" customHeight="false" outlineLevel="0" collapsed="false">
      <c r="A39" s="6" t="s">
        <v>154</v>
      </c>
      <c r="C39" s="11" t="n">
        <f aca="false">0.3*C25+0.2*C26+0.3*C27+0.2*C28</f>
        <v>822.51831969718</v>
      </c>
      <c r="D39" s="11" t="n">
        <f aca="false">$B$5-C39</f>
        <v>377.48168030282</v>
      </c>
      <c r="E39" s="8" t="n">
        <f aca="false">$B$5/C39-1</f>
        <v>0.458934070236629</v>
      </c>
    </row>
    <row r="41" customFormat="false" ht="15" hidden="false" customHeight="false" outlineLevel="0" collapsed="false">
      <c r="A41" s="15" t="s">
        <v>155</v>
      </c>
      <c r="B41" s="16"/>
      <c r="C41" s="16"/>
      <c r="D41" s="16"/>
      <c r="E41" s="16"/>
      <c r="F41" s="16"/>
    </row>
    <row r="42" customFormat="false" ht="15" hidden="false" customHeight="false" outlineLevel="0" collapsed="false">
      <c r="A42" s="4" t="s">
        <v>156</v>
      </c>
      <c r="B42" s="5" t="s">
        <v>157</v>
      </c>
      <c r="C42" s="5" t="s">
        <v>158</v>
      </c>
      <c r="D42" s="5" t="s">
        <v>159</v>
      </c>
      <c r="E42" s="5"/>
      <c r="F42" s="5"/>
    </row>
    <row r="43" customFormat="false" ht="15" hidden="false" customHeight="false" outlineLevel="0" collapsed="false">
      <c r="A43" s="6" t="s">
        <v>160</v>
      </c>
      <c r="B43" s="31" t="n">
        <v>0.386708187555486</v>
      </c>
      <c r="C43" s="31" t="n">
        <v>0.349137301487365</v>
      </c>
      <c r="D43" s="31" t="n">
        <v>0.429855225778457</v>
      </c>
    </row>
    <row r="44" customFormat="false" ht="15" hidden="false" customHeight="false" outlineLevel="0" collapsed="false">
      <c r="A44" s="6" t="s">
        <v>161</v>
      </c>
      <c r="B44" s="31" t="n">
        <v>0.0571612955661382</v>
      </c>
      <c r="C44" s="31" t="n">
        <v>0.0499498648436709</v>
      </c>
      <c r="D44" s="31" t="n">
        <v>0.0636263740870107</v>
      </c>
    </row>
    <row r="45" customFormat="false" ht="15" hidden="false" customHeight="false" outlineLevel="0" collapsed="false">
      <c r="A45" s="6" t="s">
        <v>162</v>
      </c>
      <c r="B45" s="31" t="n">
        <v>0.223367697594502</v>
      </c>
      <c r="C45" s="31" t="n">
        <v>0.241683848797251</v>
      </c>
      <c r="D45" s="31" t="n">
        <v>0.203367697594502</v>
      </c>
    </row>
    <row r="46" customFormat="false" ht="15" hidden="false" customHeight="false" outlineLevel="0" collapsed="false">
      <c r="A46" s="6" t="s">
        <v>163</v>
      </c>
      <c r="B46" s="31" t="n">
        <v>0.223367697594502</v>
      </c>
    </row>
    <row r="47" customFormat="false" ht="15" hidden="false" customHeight="false" outlineLevel="0" collapsed="false">
      <c r="A47" s="6" t="s">
        <v>164</v>
      </c>
      <c r="B47" s="32" t="n">
        <v>0.0882196</v>
      </c>
      <c r="C47" s="31" t="n">
        <v>0.03</v>
      </c>
    </row>
    <row r="49" customFormat="false" ht="15" hidden="false" customHeight="false" outlineLevel="0" collapsed="false">
      <c r="A49" s="15" t="s">
        <v>165</v>
      </c>
      <c r="B49" s="16"/>
      <c r="C49" s="16"/>
      <c r="D49" s="16"/>
      <c r="E49" s="16"/>
      <c r="F49" s="16"/>
    </row>
    <row r="50" customFormat="false" ht="15" hidden="false" customHeight="false" outlineLevel="0" collapsed="false">
      <c r="A50" s="6" t="s">
        <v>120</v>
      </c>
      <c r="B50" s="11" t="n">
        <f aca="false">B5</f>
        <v>1200</v>
      </c>
    </row>
    <row r="51" customFormat="false" ht="15" hidden="false" customHeight="false" outlineLevel="0" collapsed="false">
      <c r="A51" s="6" t="s">
        <v>133</v>
      </c>
      <c r="B51" s="11" t="n">
        <f aca="false">B12</f>
        <v>900</v>
      </c>
    </row>
    <row r="52" customFormat="false" ht="15" hidden="false" customHeight="false" outlineLevel="0" collapsed="false">
      <c r="A52" s="6" t="s">
        <v>166</v>
      </c>
      <c r="B52" s="11" t="n">
        <f aca="false">B50-B51</f>
        <v>300</v>
      </c>
    </row>
    <row r="53" customFormat="false" ht="15" hidden="false" customHeight="false" outlineLevel="0" collapsed="false">
      <c r="A53" s="6" t="s">
        <v>167</v>
      </c>
      <c r="B53" s="8" t="n">
        <f aca="false">B52/B50</f>
        <v>0.25</v>
      </c>
    </row>
    <row r="54" customFormat="false" ht="15" hidden="false" customHeight="false" outlineLevel="0" collapsed="false">
      <c r="A54" s="6" t="s">
        <v>168</v>
      </c>
      <c r="B54" s="11" t="n">
        <f aca="false">B6-1000</f>
        <v>350</v>
      </c>
    </row>
    <row r="55" customFormat="false" ht="15" hidden="false" customHeight="false" outlineLevel="0" collapsed="false">
      <c r="A55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2026-10-09T16:57:34Z</dcterms:created>
  <dc:creator>openpyxl</dc:creator>
  <dc:description/>
  <dc:language>en-GB</dc:language>
  <cp:lastModifiedBy/>
  <dcterms:modified xsi:type="dcterms:W3CDTF">2026-10-09T16:57:34Z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
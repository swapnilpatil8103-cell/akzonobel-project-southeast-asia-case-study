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mps" sheetId="2" state="visible" r:id="rId2"/>
    <sheet xmlns:r="http://schemas.openxmlformats.org/officeDocument/2006/relationships" name="Implied_Valu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0x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color rgb="00000000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i val="1"/>
      <sz val="10"/>
    </font>
    <font>
      <name val="Arial"/>
      <i val="1"/>
      <color rgb="00C00000"/>
      <sz val="9"/>
    </font>
    <font>
      <name val="Arial"/>
      <b val="1"/>
      <color rgb="00000000"/>
      <sz val="10"/>
    </font>
    <font>
      <name val="Arial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pivotButton="0" quotePrefix="0" xfId="0"/>
    <xf numFmtId="0" fontId="5" fillId="2" borderId="0" applyAlignment="1" pivotButton="0" quotePrefix="0" xfId="0">
      <alignment vertical="center" wrapText="1"/>
    </xf>
    <xf numFmtId="0" fontId="3" fillId="0" borderId="0" pivotButton="0" quotePrefix="0" xfId="0"/>
    <xf numFmtId="164" fontId="6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66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pivotButton="0" quotePrefix="0" xfId="0"/>
    <xf numFmtId="166" fontId="9" fillId="0" borderId="0" pivotButton="0" quotePrefix="0" xfId="0"/>
    <xf numFmtId="2" fontId="9" fillId="0" borderId="0" pivotButton="0" quotePrefix="0" xfId="0"/>
    <xf numFmtId="166" fontId="0" fillId="0" borderId="0" pivotButton="0" quotePrefix="0" xfId="0"/>
    <xf numFmtId="2" fontId="0" fillId="0" borderId="0" pivotButton="0" quotePrefix="0" xfId="0"/>
    <xf numFmtId="166" fontId="10" fillId="0" borderId="0" pivotButton="0" quotePrefix="0" xfId="0"/>
    <xf numFmtId="3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Project Southeast Asia — Trading Comparables</t>
        </is>
      </c>
    </row>
    <row r="2">
      <c r="A2" s="2" t="inlineStr">
        <is>
          <t>Independent student analysis/reconstruction based on publicly available information. Not affiliated with, commissioned by, or representative of Goldman Sachs or AkzoNobel.</t>
        </is>
      </c>
    </row>
    <row r="3">
      <c r="A3" s="3" t="inlineStr"/>
    </row>
    <row r="4">
      <c r="A4" s="4" t="inlineStr">
        <is>
          <t>DATA SOURCE UPDATE (2026-09-18): This tab was rebuilt using live market data pulled via the Yahoo Finance API (yfinance) for all seven companies in a single pass, replacing the original secondary-aggregator dataset built in Phase 4. This resolves every data-quality issue previously flagged: PPG's EV/EBITDA (previously unavailable) is now populated; Berger Paints' EV/EBITDA (previously an internally inconsistent 36.8x figure, left blank) now has a coherent, consistent 28.3x figure; Kansai Paint's currency mismatch is resolved (EV and revenue now both sourced in JPY from the same feed); and every company's market cap now reflects a single consistent pull rather than conflicting figures from different aggregators on different dates.</t>
        </is>
      </c>
    </row>
    <row r="5">
      <c r="A5" s="3" t="inlineStr"/>
    </row>
    <row r="6">
      <c r="A6" s="4" t="inlineStr">
        <is>
          <t>METHODOLOGY: All figures pulled via yfinance (Yahoo Finance's data feed) on 2026-09-18. Market Cap, Enterprise Value, Revenue (TTM), EBITDA (TTM), Beta and derived multiples (EV/Revenue, EV/EBITDA) are as reported by Yahoo Finance for each ticker at the time of the pull. This is real, live market data — not an illustrative assumption — but it is still a single secondary data provider's aggregation, not a licensed institutional terminal (Bloomberg/CapIQ/Refinitiv), and Yahoo's EBITDA figure may reflect unadjusted (GAAP) EBITDA rather than a company's own disclosed 'adjusted EBITDA' measure — see the AkzoNobel note below for a specific instance of this distinction.</t>
        </is>
      </c>
    </row>
    <row r="7">
      <c r="A7" s="3" t="inlineStr"/>
    </row>
    <row r="8">
      <c r="A8" s="4" t="inlineStr">
        <is>
          <t>AKZONOBEL NOTE: Yahoo Finance's feed shows AkzoNobel FY revenue of ~EUR9.89bn and EBITDA margin of ~10.8% — these differ from AkzoNobel's own disclosed FY2025 figures used elsewhere in this project (revenue EUR10.158bn, adjusted EBITDA margin 15.8%, per AkzoNobel's own Q4 2025 results release, SRC-013/SRC-015) because Yahoo's EBITDA is an unadjusted/trailing calculation while AkzoNobel's own disclosure is an adjusted, company-defined metric excluding one-off items. AkzoNobel's own disclosed figures remain PUBLIC FACT and are used elsewhere in this project (e.g., 02_Financial_Model's EBITDA margin proxy); the Yahoo-sourced figures below are shown for cross-referencing on this tab only and AkzoNobel is still excluded from peer statistics as the seller.</t>
        </is>
      </c>
    </row>
    <row r="9">
      <c r="A9" s="3" t="inlineStr"/>
    </row>
    <row r="10">
      <c r="A10" s="3" t="inlineStr">
        <is>
          <t>COMPARABILITY notes carried forward from Phase 4 are unchanged — see the Comps tab for buyer/peer comparability commentary (Nippon Paint/Kansai Paint = strongest regional comparability; Asian Paints/Berger = closest business-mix comparability; Sherwin-Williams/PPG = large-cap developed-market comparability only; AkzoNobel = seller, reference only).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8" customWidth="1" min="3" max="3"/>
    <col width="18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0" customWidth="1" min="10" max="10"/>
    <col width="14" customWidth="1" min="11" max="11"/>
    <col width="12" customWidth="1" min="12" max="12"/>
    <col width="44" customWidth="1" min="13" max="13"/>
  </cols>
  <sheetData>
    <row r="1">
      <c r="A1" s="1" t="inlineStr">
        <is>
          <t>Trading Comparables — Paints &amp; Coatings Sector (live data, 2026-09-18)</t>
        </is>
      </c>
    </row>
    <row r="2">
      <c r="A2" s="5" t="inlineStr">
        <is>
          <t>Figures in company's reporting currency. Source: Yahoo Finance (yfinance), single consistent pull, 2026-09-18.</t>
        </is>
      </c>
    </row>
    <row r="4">
      <c r="A4" s="6" t="inlineStr">
        <is>
          <t>Company</t>
        </is>
      </c>
      <c r="B4" s="6" t="inlineStr">
        <is>
          <t>Currency</t>
        </is>
      </c>
      <c r="C4" s="6" t="inlineStr">
        <is>
          <t>Market Cap (mm)</t>
        </is>
      </c>
      <c r="D4" s="6" t="inlineStr">
        <is>
          <t>Enterprise Value (mm)</t>
        </is>
      </c>
      <c r="E4" s="6" t="inlineStr">
        <is>
          <t>Revenue TTM (mm)</t>
        </is>
      </c>
      <c r="F4" s="6" t="inlineStr">
        <is>
          <t>EBITDA TTM (mm)</t>
        </is>
      </c>
      <c r="G4" s="6" t="inlineStr">
        <is>
          <t>EBITDA Margin %</t>
        </is>
      </c>
      <c r="H4" s="6" t="inlineStr">
        <is>
          <t>EV / Revenue</t>
        </is>
      </c>
      <c r="I4" s="6" t="inlineStr">
        <is>
          <t>EV / EBITDA</t>
        </is>
      </c>
      <c r="J4" s="6" t="inlineStr">
        <is>
          <t>Beta</t>
        </is>
      </c>
      <c r="K4" s="6" t="inlineStr">
        <is>
          <t>P/E (TTM)</t>
        </is>
      </c>
      <c r="L4" s="6" t="inlineStr">
        <is>
          <t>Classification</t>
        </is>
      </c>
      <c r="M4" s="6" t="inlineStr">
        <is>
          <t>Source</t>
        </is>
      </c>
    </row>
    <row r="5">
      <c r="A5" s="7" t="inlineStr">
        <is>
          <t>Sherwin-Williams</t>
        </is>
      </c>
      <c r="B5" s="7" t="inlineStr">
        <is>
          <t>USD</t>
        </is>
      </c>
      <c r="C5" s="8" t="n">
        <v>77920.5</v>
      </c>
      <c r="D5" s="8" t="n">
        <v>92316.5</v>
      </c>
      <c r="E5" s="8" t="n">
        <v>24410.3</v>
      </c>
      <c r="F5" s="8" t="n">
        <v>4709.1</v>
      </c>
      <c r="G5" s="9">
        <f>F5/E5</f>
        <v/>
      </c>
      <c r="H5" s="10">
        <f>D5/E5</f>
        <v/>
      </c>
      <c r="I5" s="10">
        <f>D5/F5</f>
        <v/>
      </c>
      <c r="J5" s="11" t="n">
        <v>1.089</v>
      </c>
      <c r="K5" s="12" t="n">
        <v>29.64</v>
      </c>
      <c r="L5" s="2" t="inlineStr">
        <is>
          <t>Large-cap, developed-market (NA-weighted) diversified coatings player. Limited direct SEA comparability given scale/geography.</t>
        </is>
      </c>
      <c r="M5" s="2" t="inlineStr">
        <is>
          <t>Yahoo Finance (yfinance), pulled 2026-09-18 (ticker: SHW)</t>
        </is>
      </c>
    </row>
    <row r="6">
      <c r="A6" s="7" t="inlineStr">
        <is>
          <t>PPG Industries</t>
        </is>
      </c>
      <c r="B6" s="7" t="inlineStr">
        <is>
          <t>USD</t>
        </is>
      </c>
      <c r="C6" s="8" t="n">
        <v>23439.3</v>
      </c>
      <c r="D6" s="8" t="n">
        <v>29345.1</v>
      </c>
      <c r="E6" s="8" t="n">
        <v>16421</v>
      </c>
      <c r="F6" s="8" t="n">
        <v>2698</v>
      </c>
      <c r="G6" s="9">
        <f>F6/E6</f>
        <v/>
      </c>
      <c r="H6" s="10">
        <f>D6/E6</f>
        <v/>
      </c>
      <c r="I6" s="10">
        <f>D6/F6</f>
        <v/>
      </c>
      <c r="J6" s="11" t="n">
        <v>1.063</v>
      </c>
      <c r="K6" s="12" t="n">
        <v>15.13</v>
      </c>
      <c r="L6" s="2" t="inlineStr">
        <is>
          <t>Large-cap, developed-market diversified coatings player. Limited direct SEA comparability given scale/geography.</t>
        </is>
      </c>
      <c r="M6" s="2" t="inlineStr">
        <is>
          <t>Yahoo Finance (yfinance), pulled 2026-09-18 (ticker: PPG)</t>
        </is>
      </c>
    </row>
    <row r="7">
      <c r="A7" s="7" t="inlineStr">
        <is>
          <t>Nippon Paint Holdings</t>
        </is>
      </c>
      <c r="B7" s="7" t="inlineStr">
        <is>
          <t>JPY</t>
        </is>
      </c>
      <c r="C7" s="8" t="n">
        <v>2680136.7</v>
      </c>
      <c r="D7" s="8" t="n">
        <v>3641233.6</v>
      </c>
      <c r="E7" s="8" t="n">
        <v>1945486</v>
      </c>
      <c r="F7" s="8" t="n">
        <v>361080</v>
      </c>
      <c r="G7" s="9">
        <f>F7/E7</f>
        <v/>
      </c>
      <c r="H7" s="10">
        <f>D7/E7</f>
        <v/>
      </c>
      <c r="I7" s="10">
        <f>D7/F7</f>
        <v/>
      </c>
      <c r="J7" s="11" t="n">
        <v>0.821</v>
      </c>
      <c r="K7" s="12" t="n">
        <v>18.35</v>
      </c>
      <c r="L7" s="2" t="inlineStr">
        <is>
          <t>Japan-HQ, meaningful APAC/decorative exposure incl. confirmed SEA market share. Strong comparability.</t>
        </is>
      </c>
      <c r="M7" s="2" t="inlineStr">
        <is>
          <t>Yahoo Finance (yfinance), pulled 2026-09-18 (ticker: 4612.T)</t>
        </is>
      </c>
    </row>
    <row r="8">
      <c r="A8" s="7" t="inlineStr">
        <is>
          <t>Kansai Paint</t>
        </is>
      </c>
      <c r="B8" s="7" t="inlineStr">
        <is>
          <t>JPY</t>
        </is>
      </c>
      <c r="C8" s="8" t="n">
        <v>513356.4</v>
      </c>
      <c r="D8" s="8" t="n">
        <v>701160.3</v>
      </c>
      <c r="E8" s="8" t="n">
        <v>602968</v>
      </c>
      <c r="F8" s="8" t="n">
        <v>77297.7</v>
      </c>
      <c r="G8" s="9">
        <f>F8/E8</f>
        <v/>
      </c>
      <c r="H8" s="10">
        <f>D8/E8</f>
        <v/>
      </c>
      <c r="I8" s="10">
        <f>D8/F8</f>
        <v/>
      </c>
      <c r="J8" s="5" t="inlineStr">
        <is>
          <t>n/a</t>
        </is>
      </c>
      <c r="K8" s="12" t="n">
        <v>19.49</v>
      </c>
      <c r="L8" s="2" t="inlineStr">
        <is>
          <t>Japan-HQ, APAC/decorative exposure. Reasonably comparable.</t>
        </is>
      </c>
      <c r="M8" s="2" t="inlineStr">
        <is>
          <t>Yahoo Finance (yfinance), pulled 2026-09-18 (ticker: 4613.T)</t>
        </is>
      </c>
    </row>
    <row r="9">
      <c r="A9" s="7" t="inlineStr">
        <is>
          <t>Asian Paints</t>
        </is>
      </c>
      <c r="B9" s="7" t="inlineStr">
        <is>
          <t>INR</t>
        </is>
      </c>
      <c r="C9" s="8" t="n">
        <v>2352513</v>
      </c>
      <c r="D9" s="8" t="n">
        <v>2313578.1</v>
      </c>
      <c r="E9" s="8" t="n">
        <v>371869.3</v>
      </c>
      <c r="F9" s="8" t="n">
        <v>68878.89999999999</v>
      </c>
      <c r="G9" s="9">
        <f>F9/E9</f>
        <v/>
      </c>
      <c r="H9" s="10">
        <f>D9/E9</f>
        <v/>
      </c>
      <c r="I9" s="10">
        <f>D9/F9</f>
        <v/>
      </c>
      <c r="J9" s="11" t="n">
        <v>0.282</v>
      </c>
      <c r="K9" s="12" t="n">
        <v>49.3</v>
      </c>
      <c r="L9" s="2" t="inlineStr">
        <is>
          <t>India-listed decorative-paints pure-play, EM growth profile similar to target. Most comparable on business mix.</t>
        </is>
      </c>
      <c r="M9" s="2" t="inlineStr">
        <is>
          <t>Yahoo Finance (yfinance), pulled 2026-09-18 (ticker: ASIANPAINT.NS)</t>
        </is>
      </c>
    </row>
    <row r="10">
      <c r="A10" s="7" t="inlineStr">
        <is>
          <t>Berger Paints India</t>
        </is>
      </c>
      <c r="B10" s="7" t="inlineStr">
        <is>
          <t>INR</t>
        </is>
      </c>
      <c r="C10" s="8" t="n">
        <v>523068.9</v>
      </c>
      <c r="D10" s="8" t="n">
        <v>516758.2</v>
      </c>
      <c r="E10" s="8" t="n">
        <v>122632.4</v>
      </c>
      <c r="F10" s="8" t="n">
        <v>18228.5</v>
      </c>
      <c r="G10" s="9">
        <f>F10/E10</f>
        <v/>
      </c>
      <c r="H10" s="10">
        <f>D10/E10</f>
        <v/>
      </c>
      <c r="I10" s="10">
        <f>D10/F10</f>
        <v/>
      </c>
      <c r="J10" s="11" t="n">
        <v>0.441</v>
      </c>
      <c r="K10" s="12" t="n">
        <v>42.97</v>
      </c>
      <c r="L10" s="2" t="inlineStr">
        <is>
          <t>India-listed decorative-paints pure-play (Asian Paints group), EM growth profile similar to target. Most comparable on business mix.</t>
        </is>
      </c>
      <c r="M10" s="2" t="inlineStr">
        <is>
          <t>Yahoo Finance (yfinance), pulled 2026-09-18 (ticker: BERGEPAINT.NS)</t>
        </is>
      </c>
    </row>
    <row r="11">
      <c r="A11" s="13" t="inlineStr">
        <is>
          <t>AkzoNobel (AKZA.AS) — SELLER, reference only</t>
        </is>
      </c>
      <c r="B11" s="7" t="inlineStr">
        <is>
          <t>EUR</t>
        </is>
      </c>
      <c r="C11" s="8" t="n">
        <v>9684.1</v>
      </c>
      <c r="D11" s="8" t="n">
        <v>13169.4</v>
      </c>
      <c r="E11" s="8" t="n">
        <v>9894</v>
      </c>
      <c r="F11" s="8" t="n">
        <v>1068</v>
      </c>
      <c r="G11" s="9">
        <f>F11/E11</f>
        <v/>
      </c>
      <c r="H11" s="10">
        <f>D11/E11</f>
        <v/>
      </c>
      <c r="I11" s="10">
        <f>D11/F11</f>
        <v/>
      </c>
      <c r="J11" s="11" t="n">
        <v>1.179</v>
      </c>
      <c r="K11" s="12" t="n">
        <v>15.19</v>
      </c>
      <c r="L11" s="14" t="inlineStr">
        <is>
          <t>SELLER — excluded from percentile stats. NOTE: Yahoo's unadjusted EBITDA (EUR1,068mm) differs from AkzoNobel's own disclosed FY2025 adjusted EBITDA (~EUR1,444mm at 15.8% margin on EUR4.09bn Decorative Paints segment revenue) — see README.</t>
        </is>
      </c>
      <c r="M11" s="2" t="inlineStr">
        <is>
          <t>Yahoo Finance (yfinance), pulled 2026-09-18 (ticker: AKZA.AS)</t>
        </is>
      </c>
    </row>
    <row r="13">
      <c r="A13" s="15" t="inlineStr">
        <is>
          <t>Summary Statistics (all 6 peers now complete — single-source live data, no exclusions needed)</t>
        </is>
      </c>
    </row>
    <row r="14">
      <c r="A14" s="16" t="inlineStr">
        <is>
          <t>Statistic</t>
        </is>
      </c>
      <c r="H14" s="16" t="inlineStr">
        <is>
          <t>EV / Revenue</t>
        </is>
      </c>
      <c r="I14" s="16" t="inlineStr">
        <is>
          <t>EV / EBITDA</t>
        </is>
      </c>
      <c r="J14" s="16" t="inlineStr">
        <is>
          <t>Beta</t>
        </is>
      </c>
    </row>
    <row r="15">
      <c r="A15" s="7" t="inlineStr">
        <is>
          <t>25th percentile</t>
        </is>
      </c>
      <c r="H15" s="17">
        <f>QUARTILE(N20:N25,1)</f>
        <v/>
      </c>
      <c r="I15" s="17">
        <f>QUARTILE(O20:O25,1)</f>
        <v/>
      </c>
      <c r="J15" s="18">
        <f>QUARTILE(P20:P24,1)</f>
        <v/>
      </c>
    </row>
    <row r="16">
      <c r="A16" s="7" t="inlineStr">
        <is>
          <t>Median</t>
        </is>
      </c>
      <c r="H16" s="17">
        <f>MEDIAN(N20:N25)</f>
        <v/>
      </c>
      <c r="I16" s="17">
        <f>MEDIAN(O20:O25)</f>
        <v/>
      </c>
      <c r="J16" s="18">
        <f>MEDIAN(P20:P24)</f>
        <v/>
      </c>
    </row>
    <row r="17">
      <c r="A17" s="7" t="inlineStr">
        <is>
          <t>75th percentile</t>
        </is>
      </c>
      <c r="H17" s="17">
        <f>QUARTILE(N20:N25,3)</f>
        <v/>
      </c>
      <c r="I17" s="17">
        <f>QUARTILE(O20:O25,3)</f>
        <v/>
      </c>
      <c r="J17" s="18">
        <f>QUARTILE(P20:P24,3)</f>
        <v/>
      </c>
    </row>
    <row r="19">
      <c r="N19" s="5" t="inlineStr">
        <is>
          <t>Peer set: EV/Revenue</t>
        </is>
      </c>
      <c r="O19" s="5" t="inlineStr">
        <is>
          <t>Peer set: EV/EBITDA</t>
        </is>
      </c>
      <c r="P19" s="5" t="inlineStr">
        <is>
          <t>Peer set: Beta</t>
        </is>
      </c>
    </row>
    <row r="20">
      <c r="N20" s="19">
        <f>H5</f>
        <v/>
      </c>
      <c r="O20" s="19">
        <f>I5</f>
        <v/>
      </c>
      <c r="P20" s="20">
        <f>J5</f>
        <v/>
      </c>
    </row>
    <row r="21">
      <c r="N21" s="19">
        <f>H6</f>
        <v/>
      </c>
      <c r="O21" s="19">
        <f>I6</f>
        <v/>
      </c>
      <c r="P21" s="20">
        <f>J6</f>
        <v/>
      </c>
    </row>
    <row r="22">
      <c r="N22" s="19">
        <f>H7</f>
        <v/>
      </c>
      <c r="O22" s="19">
        <f>I7</f>
        <v/>
      </c>
      <c r="P22" s="20">
        <f>J7</f>
        <v/>
      </c>
    </row>
    <row r="23">
      <c r="N23" s="19">
        <f>H8</f>
        <v/>
      </c>
      <c r="O23" s="19">
        <f>I8</f>
        <v/>
      </c>
      <c r="P23" s="20">
        <f>J9</f>
        <v/>
      </c>
    </row>
    <row r="24">
      <c r="N24" s="19">
        <f>H9</f>
        <v/>
      </c>
      <c r="O24" s="19">
        <f>I9</f>
        <v/>
      </c>
      <c r="P24" s="20">
        <f>J10</f>
        <v/>
      </c>
    </row>
    <row r="25">
      <c r="N25" s="19">
        <f>H10</f>
        <v/>
      </c>
      <c r="O25" s="19">
        <f>I10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Implied Valuation — SEA Decorative Paints Carve-Out (from Trading Comps)</t>
        </is>
      </c>
    </row>
    <row r="2">
      <c r="A2" s="2" t="inlineStr">
        <is>
          <t>Applies Comps tab EV/Revenue and EV/EBITDA percentiles (now computed from a complete, consistent 6-company live dataset) to the carve-out model's FY2026E revenue and EBITDA (see 02_Financial_Model).</t>
        </is>
      </c>
    </row>
    <row r="4">
      <c r="A4" s="7" t="inlineStr">
        <is>
          <t>SEA Carve-Out FY2026E Revenue (EUR mm) — from financial model</t>
        </is>
      </c>
      <c r="B4" s="8" t="n">
        <v>315</v>
      </c>
    </row>
    <row r="5">
      <c r="A5" s="7" t="inlineStr">
        <is>
          <t>SEA Carve-Out FY2026E EBITDA (EUR mm) — from financial model</t>
        </is>
      </c>
      <c r="B5" s="8" t="n">
        <v>52</v>
      </c>
    </row>
    <row r="7">
      <c r="A7" s="16" t="inlineStr">
        <is>
          <t>Methodology</t>
        </is>
      </c>
      <c r="B7" s="16" t="inlineStr">
        <is>
          <t>Low (25th pct)</t>
        </is>
      </c>
      <c r="C7" s="16" t="inlineStr">
        <is>
          <t>Mid (Median)</t>
        </is>
      </c>
      <c r="D7" s="16" t="inlineStr">
        <is>
          <t>High (75th pct)</t>
        </is>
      </c>
    </row>
    <row r="8">
      <c r="A8" s="7" t="inlineStr">
        <is>
          <t>EV / Revenue multiple (from Comps tab)</t>
        </is>
      </c>
      <c r="B8" s="21">
        <f>Comps!H15</f>
        <v/>
      </c>
      <c r="C8" s="21">
        <f>Comps!H16</f>
        <v/>
      </c>
      <c r="D8" s="21">
        <f>Comps!H17</f>
        <v/>
      </c>
    </row>
    <row r="9">
      <c r="A9" s="15" t="inlineStr">
        <is>
          <t>Implied EV — Revenue basis (EUR mm)</t>
        </is>
      </c>
      <c r="B9" s="22">
        <f>B8*$B$4</f>
        <v/>
      </c>
      <c r="C9" s="22">
        <f>C8*$B$4</f>
        <v/>
      </c>
      <c r="D9" s="22">
        <f>D8*$B$4</f>
        <v/>
      </c>
    </row>
    <row r="11">
      <c r="A11" s="7" t="inlineStr">
        <is>
          <t>EV / EBITDA multiple (from Comps tab)</t>
        </is>
      </c>
      <c r="B11" s="21">
        <f>Comps!I15</f>
        <v/>
      </c>
      <c r="C11" s="21">
        <f>Comps!I16</f>
        <v/>
      </c>
      <c r="D11" s="21">
        <f>Comps!I17</f>
        <v/>
      </c>
    </row>
    <row r="12">
      <c r="A12" s="15" t="inlineStr">
        <is>
          <t>Implied EV — EBITDA basis (EUR mm)</t>
        </is>
      </c>
      <c r="B12" s="22">
        <f>B11*$B$5</f>
        <v/>
      </c>
      <c r="C12" s="22">
        <f>C11*$B$5</f>
        <v/>
      </c>
      <c r="D12" s="22">
        <f>D11*$B$5</f>
        <v/>
      </c>
    </row>
    <row r="14" ht="45" customHeight="1">
      <c r="A14" s="2" t="inlineStr">
        <is>
          <t>UPDATE (2026-09-18): This range now derives from a complete, single-source, same-day dataset across all 6 peers (previously 3-4 usable data points per basis, with known cross-source inconsistencies). The range is narrower and more defensible than the Phase 4 version, though it should still be triangulated against the DCF (02_Financial_Model) and precedent transactions (04_Precedent_Transactions) — see 05_Valuation.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2026-09-17T20:09:49Z</dcterms:created>
  <dcterms:modified xmlns:dcterms="http://purl.org/dc/terms/" xmlns:xsi="http://www.w3.org/2001/XMLSchema-instance" xsi:type="dcterms:W3CDTF">2026-09-17T20:09:49Z</dcterms:modified>
</cp:coreProperties>
</file>
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CF_Summary" sheetId="2" state="visible" r:id="rId2"/>
    <sheet xmlns:r="http://schemas.openxmlformats.org/officeDocument/2006/relationships" name="Trading_Comps_Summary" sheetId="3" state="visible" r:id="rId3"/>
    <sheet xmlns:r="http://schemas.openxmlformats.org/officeDocument/2006/relationships" name="Precedent_Summary" sheetId="4" state="visible" r:id="rId4"/>
    <sheet xmlns:r="http://schemas.openxmlformats.org/officeDocument/2006/relationships" name="Triangulation" sheetId="5" state="visible" r:id="rId5"/>
    <sheet xmlns:r="http://schemas.openxmlformats.org/officeDocument/2006/relationships" name="Equity_Brid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0.00x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i val="1"/>
      <color rgb="00C00000"/>
      <sz val="9"/>
    </font>
    <font>
      <name val="Arial"/>
      <b val="1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3" fillId="0" borderId="0" pivotButton="0" quotePrefix="0" xfId="0"/>
    <xf numFmtId="165" fontId="5" fillId="0" borderId="0" pivotButton="0" quotePrefix="0" xfId="0"/>
    <xf numFmtId="0" fontId="6" fillId="3" borderId="0" pivotButton="0" quotePrefix="0" xfId="0"/>
    <xf numFmtId="165" fontId="6" fillId="3" borderId="0" applyAlignment="1" pivotButton="0" quotePrefix="0" xfId="0">
      <alignment horizontal="center"/>
    </xf>
    <xf numFmtId="165" fontId="6" fillId="3" borderId="0" pivotButton="0" quotePrefix="0" xfId="0"/>
    <xf numFmtId="164" fontId="5" fillId="0" borderId="1" pivotButton="0" quotePrefix="0" xfId="0"/>
    <xf numFmtId="164" fontId="5" fillId="2" borderId="1" pivotButton="0" quotePrefix="0" xfId="0"/>
    <xf numFmtId="164" fontId="3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6" fillId="3" borderId="0" applyAlignment="1" pivotButton="0" quotePrefix="0" xfId="0">
      <alignment vertical="top" wrapText="1"/>
    </xf>
    <xf numFmtId="164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Triangulation — Enterprise Value (EUR mm)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'Triangulation'!I15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'Triangulation'!$H$16:$H$20</f>
            </numRef>
          </cat>
          <val>
            <numRef>
              <f>'Triangulation'!$I$16:$I$20</f>
            </numRef>
          </val>
        </ser>
        <ser>
          <idx val="1"/>
          <order val="1"/>
          <tx>
            <strRef>
              <f>'Triangulation'!J15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'Triangulation'!$H$16:$H$20</f>
            </numRef>
          </cat>
          <val>
            <numRef>
              <f>'Triangulation'!$J$16:$J$20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mm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Southeast Asia — Valuation Triangulation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4" t="inlineStr">
        <is>
          <t>PURPOSE: Brings together the three valuation methodologies built in prior phases — DCF (02_Financial_Model), Trading Comparables (03_Trading_Comps) and Precedent Transactions (04_Precedent_Transactions) — into a single triangulated Enterprise Value range for the SEA decorative paints carve-out, with an Enterprise-to-Equity bridge and explicit sensitivity analysis.</t>
        </is>
      </c>
    </row>
    <row r="5">
      <c r="A5" s="3" t="inlineStr"/>
    </row>
    <row r="6">
      <c r="A6" s="4" t="inlineStr">
        <is>
          <t>INPUTS ARE HARDCODED FROM PRIOR-PHASE WORKBOOKS (not live cross-file links, since each workbook is a separate file): every pulled figure cites which workbook/tab it was taken from. If an upstream assumption changes, this workbook must be manually refreshed to match — this is flagged as a manual-refresh dependency, not a live model chain.</t>
        </is>
      </c>
    </row>
    <row r="7">
      <c r="A7" s="3" t="inlineStr"/>
    </row>
    <row r="8">
      <c r="A8" s="4" t="inlineStr">
        <is>
          <t>DATA REFRESH (2026-09-18): WACC's beta input and all Trading Comps figures were updated from illustrative/aggregator placeholders to live market data (Yahoo Finance via yfinance, single consistent pull across all 6 peers) after this workbook was first built. The figures below reflect that refresh — see 03_Trading_Comps/README and 02_Financial_Model/Assumptions (beta row) for full methodology.</t>
        </is>
      </c>
    </row>
    <row r="9">
      <c r="A9" s="3" t="inlineStr"/>
    </row>
    <row r="10">
      <c r="A10" s="4" t="inlineStr">
        <is>
          <t>HEADLINE RESULT: The three methodologies do NOT converge tightly — see Triangulation tab. DCF centers around EUR 613mm (range EUR 468-908mm across WACC/terminal-growth sensitivity), using a WACC of 8.88% built with a real peer-median beta of 0.821. Trading comps (now complete across all 6 peers with no exclusions) imply a higher range (EUR 535-1,360mm) still influenced by Asian Paints' rich 33.6x EV/EBITDA multiple. Precedent transactions imply the widest range in relative terms (EUR 87-690mm), spanning a low-margin PE-sponsor carve-out at one end and a rejected strategic mega-offer at the other. This dispersion is a genuine finding, not a modeling error — it reflects how little hard, comparable public data exists for this specific carve-out. A recommended primary range is presented on the Triangulation tab with explicit reasoning for which data points are weighted and which are treated as outlier context only.</t>
        </is>
      </c>
    </row>
    <row r="11">
      <c r="A11" s="3" t="inlineStr"/>
    </row>
    <row r="12">
      <c r="A12" s="3" t="inlineStr">
        <is>
          <t>See Triangulation tab for the football-field summary and Equity_Bridge tab for the EV-to-equity walk (equity value cannot be calculated — see limitation there).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DCF Valuation Summary (recap of 02_Financial_Model/DCF_Valuation)</t>
        </is>
      </c>
    </row>
    <row r="2">
      <c r="A2" s="5" t="inlineStr">
        <is>
          <t>Base case: WACC 8.88% (beta 0.821, live peer median, 2026-09-18), terminal growth 3.0%. See 02_Financial_Model for full build.</t>
        </is>
      </c>
    </row>
    <row r="4">
      <c r="A4" s="6" t="inlineStr">
        <is>
          <t>Base case Enterprise Value (EUR mm)</t>
        </is>
      </c>
      <c r="B4" s="7" t="n">
        <v>613</v>
      </c>
    </row>
    <row r="5">
      <c r="A5" s="8" t="inlineStr">
        <is>
          <t>TV as % of EV</t>
        </is>
      </c>
      <c r="B5" s="9" t="n">
        <v>0.787</v>
      </c>
    </row>
    <row r="7">
      <c r="A7" s="6" t="inlineStr">
        <is>
          <t>Sensitivity: Enterprise Value (EUR mm) — WACC x Terminal Growth</t>
        </is>
      </c>
    </row>
    <row r="8">
      <c r="A8" s="10" t="inlineStr">
        <is>
          <t>WACC \ g</t>
        </is>
      </c>
      <c r="B8" s="11" t="n">
        <v>0.02</v>
      </c>
      <c r="C8" s="11" t="n">
        <v>0.025</v>
      </c>
      <c r="D8" s="11" t="n">
        <v>0.03</v>
      </c>
      <c r="E8" s="11" t="n">
        <v>0.035</v>
      </c>
      <c r="F8" s="11" t="n">
        <v>0.04</v>
      </c>
    </row>
    <row r="9">
      <c r="A9" s="12" t="n">
        <v>0.07877000000000001</v>
      </c>
      <c r="B9" s="13" t="n">
        <v>635</v>
      </c>
      <c r="C9" s="13" t="n">
        <v>684.2</v>
      </c>
      <c r="D9" s="13" t="n">
        <v>743.5</v>
      </c>
      <c r="E9" s="13" t="n">
        <v>816.3</v>
      </c>
      <c r="F9" s="13" t="n">
        <v>907.9</v>
      </c>
    </row>
    <row r="10">
      <c r="A10" s="12" t="n">
        <v>0.08377</v>
      </c>
      <c r="B10" s="13" t="n">
        <v>583.3</v>
      </c>
      <c r="C10" s="13" t="n">
        <v>624</v>
      </c>
      <c r="D10" s="13" t="n">
        <v>672.3</v>
      </c>
      <c r="E10" s="13" t="n">
        <v>730.5</v>
      </c>
      <c r="F10" s="13" t="n">
        <v>802</v>
      </c>
    </row>
    <row r="11">
      <c r="A11" s="12" t="n">
        <v>0.08877</v>
      </c>
      <c r="B11" s="13" t="n">
        <v>539.1</v>
      </c>
      <c r="C11" s="13" t="n">
        <v>573.3</v>
      </c>
      <c r="D11" s="14" t="n">
        <v>613.3</v>
      </c>
      <c r="E11" s="13" t="n">
        <v>660.7</v>
      </c>
      <c r="F11" s="13" t="n">
        <v>717.8</v>
      </c>
    </row>
    <row r="12">
      <c r="A12" s="12" t="n">
        <v>0.09377000000000001</v>
      </c>
      <c r="B12" s="13" t="n">
        <v>501</v>
      </c>
      <c r="C12" s="13" t="n">
        <v>530</v>
      </c>
      <c r="D12" s="13" t="n">
        <v>563.5</v>
      </c>
      <c r="E12" s="13" t="n">
        <v>602.8</v>
      </c>
      <c r="F12" s="13" t="n">
        <v>649.3</v>
      </c>
    </row>
    <row r="13">
      <c r="A13" s="12" t="n">
        <v>0.09877</v>
      </c>
      <c r="B13" s="13" t="n">
        <v>467.7</v>
      </c>
      <c r="C13" s="13" t="n">
        <v>492.5</v>
      </c>
      <c r="D13" s="13" t="n">
        <v>521</v>
      </c>
      <c r="E13" s="13" t="n">
        <v>554</v>
      </c>
      <c r="F13" s="13" t="n">
        <v>592.5</v>
      </c>
    </row>
    <row r="15">
      <c r="A15" s="6" t="inlineStr">
        <is>
          <t>DCF-implied range (min / base / max, EUR mm)</t>
        </is>
      </c>
      <c r="B15" s="15">
        <f>MIN(B9:F13)</f>
        <v/>
      </c>
      <c r="C15" s="16" t="n">
        <v>613</v>
      </c>
      <c r="D15" s="15">
        <f>MAX(B9:F13)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Trading Comps Valuation Summary (recap of 03_Trading_Comps)</t>
        </is>
      </c>
    </row>
    <row r="2">
      <c r="A2" s="5" t="inlineStr">
        <is>
          <t>SEA carve-out FY2026E: Revenue EUR 315mm, EBITDA EUR 52mm (02_Financial_Model).</t>
        </is>
      </c>
    </row>
    <row r="4">
      <c r="A4" s="10" t="inlineStr">
        <is>
          <t>Basis</t>
        </is>
      </c>
      <c r="B4" s="10" t="inlineStr">
        <is>
          <t>Low (P25)</t>
        </is>
      </c>
      <c r="C4" s="10" t="inlineStr">
        <is>
          <t>Mid (Median)</t>
        </is>
      </c>
      <c r="D4" s="10" t="inlineStr">
        <is>
          <t>High (P75)</t>
        </is>
      </c>
    </row>
    <row r="5">
      <c r="A5" s="8" t="inlineStr">
        <is>
          <t>EV / Revenue multiple</t>
        </is>
      </c>
      <c r="B5" s="17" t="n">
        <v>1.81</v>
      </c>
      <c r="C5" s="17" t="n">
        <v>2.83</v>
      </c>
      <c r="D5" s="17" t="n">
        <v>4.11</v>
      </c>
    </row>
    <row r="6">
      <c r="A6" s="6" t="inlineStr">
        <is>
          <t>Implied EV — Revenue basis (EUR mm)</t>
        </is>
      </c>
      <c r="B6" s="16" t="n">
        <v>570</v>
      </c>
      <c r="C6" s="16" t="n">
        <v>890</v>
      </c>
      <c r="D6" s="16" t="n">
        <v>1293</v>
      </c>
    </row>
    <row r="8">
      <c r="A8" s="8" t="inlineStr">
        <is>
          <t>EV / EBITDA multiple</t>
        </is>
      </c>
      <c r="B8" s="17" t="n">
        <v>10.28</v>
      </c>
      <c r="C8" s="17" t="n">
        <v>15.24</v>
      </c>
      <c r="D8" s="17" t="n">
        <v>26.16</v>
      </c>
    </row>
    <row r="9">
      <c r="A9" s="6" t="inlineStr">
        <is>
          <t>Implied EV — EBITDA basis (EUR mm)</t>
        </is>
      </c>
      <c r="B9" s="16" t="n">
        <v>535</v>
      </c>
      <c r="C9" s="16" t="n">
        <v>792</v>
      </c>
      <c r="D9" s="16" t="n">
        <v>1360</v>
      </c>
    </row>
    <row r="11" ht="45" customHeight="1">
      <c r="A11" s="2" t="inlineStr">
        <is>
          <t>UPDATED 2026-09-18: figures now sourced from a complete, single-pull, live 6-peer dataset (Yahoo Finance via yfinance) — see 03_Trading_Comps/README. The EBITDA-basis range is still influenced by Asian Paints' 33.6x EV/EBITDA multiple, but every one of the 6 peers now has a usable figure (vs. 3-4 previously), so the percentile statistics are more robust than the original aggregator-sourced version.</t>
        </is>
      </c>
    </row>
  </sheetData>
  <mergeCells count="1"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Precedent Transactions Valuation Summary (recap of 04_Precedent_Transactions)</t>
        </is>
      </c>
    </row>
    <row r="2">
      <c r="A2" s="5" t="inlineStr">
        <is>
          <t>SEA carve-out FY2026E Revenue EUR 315mm.</t>
        </is>
      </c>
    </row>
    <row r="4">
      <c r="A4" s="18" t="inlineStr">
        <is>
          <t>Basis</t>
        </is>
      </c>
      <c r="B4" s="18" t="inlineStr">
        <is>
          <t>Low (PPG/AIP)</t>
        </is>
      </c>
      <c r="C4" s="18" t="inlineStr">
        <is>
          <t>Mid (SHW/Suvinil)</t>
        </is>
      </c>
      <c r="D4" s="18" t="inlineStr">
        <is>
          <t>High (Nippon/AkzoNobel, rejected offer)</t>
        </is>
      </c>
    </row>
    <row r="5">
      <c r="A5" s="8" t="inlineStr">
        <is>
          <t>EV / Revenue multiple applied</t>
        </is>
      </c>
      <c r="B5" s="17" t="n">
        <v>0.275</v>
      </c>
      <c r="C5" s="17" t="n">
        <v>2.19</v>
      </c>
      <c r="D5" s="17" t="n">
        <v>1.83</v>
      </c>
    </row>
    <row r="6">
      <c r="A6" s="6" t="inlineStr">
        <is>
          <t>Implied EV (EUR mm)</t>
        </is>
      </c>
      <c r="B6" s="16" t="n">
        <v>87</v>
      </c>
      <c r="C6" s="16" t="n">
        <v>690</v>
      </c>
      <c r="D6" s="16" t="n">
        <v>578</v>
      </c>
    </row>
    <row r="8" ht="30" customHeight="1">
      <c r="A8" s="2" t="inlineStr">
        <is>
          <t>JSW/AkzoNobel India (25x EBITDA) is excluded from this range — India-specific control-premium dynamics not representative of a SEA multi-country carve-out. Nippon Paint/Vibgyor excluded — value undisclosed.</t>
        </is>
      </c>
    </row>
  </sheetData>
  <mergeCells count="1"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55" customWidth="1" min="6" max="6"/>
  </cols>
  <sheetData>
    <row r="1">
      <c r="A1" s="1" t="inlineStr">
        <is>
          <t>Valuation Triangulation — Enterprise Value (EUR mm)</t>
        </is>
      </c>
    </row>
    <row r="2">
      <c r="A2" s="5" t="inlineStr">
        <is>
          <t>All figures recapped from the DCF_Summary, Trading_Comps_Summary and Precedent_Summary tabs of this workbook.</t>
        </is>
      </c>
    </row>
    <row r="4">
      <c r="A4" s="10" t="inlineStr">
        <is>
          <t>Methodology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Notes</t>
        </is>
      </c>
    </row>
    <row r="5" ht="30" customHeight="1">
      <c r="A5" s="8" t="inlineStr">
        <is>
          <t>DCF (unlevered FCF, WACC/g sensitivity)</t>
        </is>
      </c>
      <c r="B5" s="19">
        <f>DCF_Summary!B15</f>
        <v/>
      </c>
      <c r="C5" s="19">
        <f>DCF_Summary!C15</f>
        <v/>
      </c>
      <c r="D5" s="19">
        <f>DCF_Summary!D15</f>
        <v/>
      </c>
      <c r="F5" s="2" t="inlineStr">
        <is>
          <t>Base case anchor; WACC 7.88%-9.88% (beta 0.821, live peer median) x terminal growth 2.0%-4.0% sensitivity range.</t>
        </is>
      </c>
    </row>
    <row r="6" ht="30" customHeight="1">
      <c r="A6" s="8" t="inlineStr">
        <is>
          <t>Trading Comps — EV/Revenue basis</t>
        </is>
      </c>
      <c r="B6" s="19">
        <f>Trading_Comps_Summary!B6</f>
        <v/>
      </c>
      <c r="C6" s="19">
        <f>Trading_Comps_Summary!C6</f>
        <v/>
      </c>
      <c r="D6" s="19">
        <f>Trading_Comps_Summary!D6</f>
        <v/>
      </c>
      <c r="F6" s="2" t="inlineStr">
        <is>
          <t>P25/Median/P75 across all 6 peers (Sherwin-Williams, PPG, Nippon Paint, Kansai Paint, Asian Paints, Berger Paints) — complete dataset, live pull 2026-09-18.</t>
        </is>
      </c>
    </row>
    <row r="7" ht="30" customHeight="1">
      <c r="A7" s="8" t="inlineStr">
        <is>
          <t>Trading Comps — EV/EBITDA basis</t>
        </is>
      </c>
      <c r="B7" s="19">
        <f>Trading_Comps_Summary!B9</f>
        <v/>
      </c>
      <c r="C7" s="19">
        <f>Trading_Comps_Summary!C9</f>
        <v/>
      </c>
      <c r="D7" s="19">
        <f>Trading_Comps_Summary!D9</f>
        <v/>
      </c>
      <c r="F7" s="2" t="inlineStr">
        <is>
          <t>Same complete 6-peer dataset; still influenced by Asian Paints' 33.6x — treat with some caution.</t>
        </is>
      </c>
    </row>
    <row r="8" ht="30" customHeight="1">
      <c r="A8" s="8" t="inlineStr">
        <is>
          <t>Precedent Transactions</t>
        </is>
      </c>
      <c r="B8" s="19">
        <f>Precedent_Summary!B6</f>
        <v/>
      </c>
      <c r="C8" s="19">
        <f>Precedent_Summary!C6</f>
        <v/>
      </c>
      <c r="D8" s="19">
        <f>Precedent_Summary!D6</f>
        <v/>
      </c>
      <c r="F8" s="2" t="inlineStr">
        <is>
          <t>PPG/AIP (floor) to SHW/Suvinil (closest structural match) to Nippon/AkzoNobel rejected offer (strategic ceiling).</t>
        </is>
      </c>
    </row>
    <row r="10">
      <c r="A10" s="20" t="inlineStr">
        <is>
          <t>RECOMMENDED PRIMARY RANGE (analyst judgment)</t>
        </is>
      </c>
      <c r="B10" s="7" t="n">
        <v>500</v>
      </c>
      <c r="C10" s="7" t="n">
        <v>625</v>
      </c>
      <c r="D10" s="7" t="n">
        <v>775</v>
      </c>
      <c r="F10" s="21" t="inlineStr">
        <is>
          <t>ANALYST CALCULATION / JUDGMENT — see rationale below. Not a disclosed or confirmed figure. Updated 2026-09-18.</t>
        </is>
      </c>
    </row>
    <row r="12" ht="150" customHeight="1">
      <c r="A12" s="2" t="inlineStr">
        <is>
          <t>RATIONALE FOR RECOMMENDED RANGE (updated 2026-09-18 following a live-data refresh of beta and trading comps): Anchored primarily on the DCF base case (EUR 613mm, now using a WACC of 8.88% built with a real peer-median beta of 0.821 in place of the original illustrative 1.00) and its own sensitivity band, cross-checked against the two most structurally comparable data points available — the Sherwin-Williams/BASF Suvinil precedent (EUR 690mm, the closest deal structurally: a global strategic buying a single-country emerging-market decorative paints carve-out from another major) and the Nippon Paint/AkzoNobel Decorative Paints rejected offer (EUR 578mm on a like-for-like revenue basis, though that offer was for the GLOBAL segment and was never consummated). The trading comps EV/EBITDA range (EUR 535-1,360mm) and EV/Revenue range (EUR 570-1,293mm) are now computed across a complete, single-source, same-day 6-peer dataset (no exclusions) but are still treated as directional upside context rather than primary drivers, given the outsized influence of Asian Paints' India-specific premium multiple (33.6x EV/EBITDA). The PPG/AIP precedent (EUR 87mm) is treated as a low-margin financial-sponsor floor case, not representative of a strategic-buyer process for a growing SEA decorative platform. The JSW/AkzoNobel India precedent (25x EBITDA, implying a much higher EV than any range shown here) is excluded as an India-specific outlier not comparable to a multi-country SEA carve-out — see 04_Precedent_Transactions for full reasoning. This range should be treated as illustrative and provisional: it rests on a financial model built almost entirely from ILLUSTRATIVE ASSUMPTIONS for the carve-out P&amp;L (see 02_Financial_Model/README), even though the WACC beta and trading comps inputs are now real, live market data.</t>
        </is>
      </c>
    </row>
    <row r="14">
      <c r="A14" s="5" t="inlineStr">
        <is>
          <t>(chart helper — base)</t>
        </is>
      </c>
    </row>
    <row r="15">
      <c r="H15" s="5" t="inlineStr">
        <is>
          <t>Label</t>
        </is>
      </c>
      <c r="I15" s="5" t="inlineStr">
        <is>
          <t>Base (=Low, hidden)</t>
        </is>
      </c>
      <c r="J15" s="5" t="inlineStr">
        <is>
          <t>Range (High-Low, visible)</t>
        </is>
      </c>
    </row>
    <row r="16">
      <c r="H16">
        <f>A5</f>
        <v/>
      </c>
      <c r="I16" s="22">
        <f>B5</f>
        <v/>
      </c>
      <c r="J16" s="22">
        <f>D5-B5</f>
        <v/>
      </c>
    </row>
    <row r="17">
      <c r="H17">
        <f>A6</f>
        <v/>
      </c>
      <c r="I17" s="22">
        <f>B6</f>
        <v/>
      </c>
      <c r="J17" s="22">
        <f>D6-B6</f>
        <v/>
      </c>
    </row>
    <row r="18">
      <c r="H18">
        <f>A7</f>
        <v/>
      </c>
      <c r="I18" s="22">
        <f>B7</f>
        <v/>
      </c>
      <c r="J18" s="22">
        <f>D7-B7</f>
        <v/>
      </c>
    </row>
    <row r="19">
      <c r="H19">
        <f>A8</f>
        <v/>
      </c>
      <c r="I19" s="22">
        <f>B8</f>
        <v/>
      </c>
      <c r="J19" s="22">
        <f>D8-B8</f>
        <v/>
      </c>
    </row>
    <row r="20">
      <c r="H20">
        <f>A10</f>
        <v/>
      </c>
      <c r="I20" s="22">
        <f>B10</f>
        <v/>
      </c>
      <c r="J20" s="22">
        <f>D10-B10</f>
        <v/>
      </c>
    </row>
  </sheetData>
  <mergeCells count="1"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Enterprise Value to Equity Value Bridge</t>
        </is>
      </c>
    </row>
    <row r="3">
      <c r="A3" s="6" t="inlineStr">
        <is>
          <t>Recommended Enterprise Value — Mid (EUR mm)</t>
        </is>
      </c>
      <c r="B3" s="19">
        <f>Triangulation!C10</f>
        <v/>
      </c>
    </row>
    <row r="4">
      <c r="A4" s="8" t="inlineStr">
        <is>
          <t>Less: Debt (asset-level, SEA carve-out)</t>
        </is>
      </c>
      <c r="B4" s="21" t="inlineStr">
        <is>
          <t>N/A — not publicly disclosed</t>
        </is>
      </c>
    </row>
    <row r="5">
      <c r="A5" s="8" t="inlineStr">
        <is>
          <t>Plus: Cash (asset-level, SEA carve-out)</t>
        </is>
      </c>
      <c r="B5" s="21" t="inlineStr">
        <is>
          <t>N/A — not publicly disclosed</t>
        </is>
      </c>
    </row>
    <row r="6">
      <c r="A6" s="6" t="inlineStr">
        <is>
          <t>Equity Value</t>
        </is>
      </c>
      <c r="B6" s="23" t="inlineStr">
        <is>
          <t>Cannot be calculated</t>
        </is>
      </c>
    </row>
    <row r="8" ht="90" customHeight="1">
      <c r="A8" s="2" t="inlineStr">
        <is>
          <t>LIMITATION: AkzoNobel does not publicly disclose asset-level debt or cash for the SEA decorative paints carve-out — these exist only at the consolidated AkzoNobel Group level (Group net debt/EBITDA disclosed at 2.0x for FY2025, per AkzoNobel's Q4 2025 results release) and cannot be responsibly allocated to this specific perimeter without non-public carve-out balance sheet data. In a real sell-side process, the carve-out balance sheet (including any debt-free/cash-free convention typical of a divestiture) would be defined in the transaction structuring, not estimated by an outside analyst. Enterprise Value is therefore presented throughout this project as the primary valuation output.</t>
        </is>
      </c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2026-09-17T20:16:52Z</dcterms:created>
  <dcterms:modified xmlns:dcterms="http://purl.org/dc/terms/" xmlns:xsi="http://www.w3.org/2001/XMLSchema-instance" xsi:type="dcterms:W3CDTF">2026-09-17T20:16:53Z</dcterms:modified>
</cp:coreProperties>
</file>
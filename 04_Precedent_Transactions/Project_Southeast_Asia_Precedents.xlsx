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ecedents" sheetId="2" state="visible" r:id="rId2"/>
    <sheet xmlns:r="http://schemas.openxmlformats.org/officeDocument/2006/relationships" name="Implied_Valuation" sheetId="3" state="visible" r:id="rId3"/>
  </sheets>
  <definedNames/>
  <calcPr calcId="124519" fullCalcOnLoad="1"/>
</workbook>
</file>

<file path=xl/styles.xml><?xml version="1.0" encoding="utf-8"?>
<styleSheet xmlns="http://schemas.openxmlformats.org/spreadsheetml/2006/main">
  <numFmts count="2">
    <numFmt numFmtId="164" formatCode="0.00x"/>
    <numFmt numFmtId="165" formatCode="#,##0.0"/>
  </numFmts>
  <fonts count="10">
    <font>
      <name val="Calibri"/>
      <family val="2"/>
      <color theme="1"/>
      <sz val="11"/>
      <scheme val="minor"/>
    </font>
    <font>
      <name val="Arial"/>
      <b val="1"/>
      <sz val="14"/>
    </font>
    <font>
      <name val="Arial"/>
      <i val="1"/>
      <color rgb="00555555"/>
      <sz val="9"/>
    </font>
    <font>
      <name val="Arial"/>
      <color rgb="00000000"/>
      <sz val="10"/>
    </font>
    <font>
      <name val="Arial"/>
      <b val="1"/>
      <sz val="10"/>
    </font>
    <font>
      <name val="Arial"/>
      <b val="1"/>
      <color rgb="00FFFFFF"/>
      <sz val="10"/>
    </font>
    <font>
      <name val="Arial"/>
      <color rgb="000000FF"/>
      <sz val="10"/>
    </font>
    <font>
      <name val="Arial"/>
      <i val="1"/>
      <color rgb="00C00000"/>
      <sz val="9"/>
    </font>
    <font>
      <name val="Arial"/>
      <color rgb="00008000"/>
      <sz val="10"/>
    </font>
    <font>
      <name val="Arial"/>
      <b val="1"/>
      <color rgb="00000000"/>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3" fillId="0" borderId="0" pivotButton="0" quotePrefix="0" xfId="0"/>
    <xf numFmtId="0" fontId="6" fillId="0" borderId="0" applyAlignment="1" pivotButton="0" quotePrefix="0" xfId="0">
      <alignment vertical="top" wrapText="1"/>
    </xf>
    <xf numFmtId="0" fontId="2" fillId="0" borderId="0" pivotButton="0" quotePrefix="0" xfId="0"/>
    <xf numFmtId="0" fontId="7" fillId="0" borderId="0" pivotButton="0" quotePrefix="0" xfId="0"/>
    <xf numFmtId="164" fontId="3" fillId="0" borderId="0" pivotButton="0" quotePrefix="0" xfId="0"/>
    <xf numFmtId="165" fontId="6" fillId="0" borderId="0" pivotButton="0" quotePrefix="0" xfId="0"/>
    <xf numFmtId="0" fontId="7" fillId="0" borderId="0" applyAlignment="1" pivotButton="0" quotePrefix="0" xfId="0">
      <alignment vertical="top" wrapText="1"/>
    </xf>
    <xf numFmtId="0" fontId="4" fillId="0" borderId="0" pivotButton="0" quotePrefix="0" xfId="0"/>
    <xf numFmtId="0" fontId="5" fillId="2" borderId="0" pivotButton="0" quotePrefix="0" xfId="0"/>
    <xf numFmtId="164" fontId="8" fillId="0" borderId="0" pivotButton="0" quotePrefix="0" xfId="0"/>
    <xf numFmtId="3"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5" customWidth="1" min="1" max="1"/>
  </cols>
  <sheetData>
    <row r="1">
      <c r="A1" s="1" t="inlineStr">
        <is>
          <t>Project Southeast Asia — Precedent Transactions</t>
        </is>
      </c>
    </row>
    <row r="2">
      <c r="A2" s="2" t="inlineStr">
        <is>
          <t>Independent student analysis/reconstruction based on publicly available information. Not affiliated with, commissioned by, or representative of Goldman Sachs or AkzoNobel.</t>
        </is>
      </c>
    </row>
    <row r="3">
      <c r="A3" s="3" t="inlineStr"/>
    </row>
    <row r="4">
      <c r="A4" s="4" t="inlineStr">
        <is>
          <t>SCOPE: Paints &amp; coatings M&amp;A transactions relevant to a Southeast Asian decorative paints carve-out, gathered from trade press and company disclosures (Coatings World, Bloomberg, company press releases). Where a deal's own EBITDA multiple was publicly disclosed, it is shown as DISCLOSED. Where it was not disclosed but can be derived from two independently disclosed public figures (e.g., offer price and target segment revenue), it is shown as CALCULATED with the derivation shown. Where neither exists, the multiple is left BLANK — never estimated or invented.</t>
        </is>
      </c>
    </row>
    <row r="5">
      <c r="A5" s="3" t="inlineStr"/>
    </row>
    <row r="6">
      <c r="A6" s="4" t="inlineStr">
        <is>
          <t>MOST DIRECTLY RELEVANT PRECEDENTS:</t>
        </is>
      </c>
    </row>
    <row r="7">
      <c r="A7" s="3" t="inlineStr">
        <is>
          <t xml:space="preserve">  1. JSW Paints / AkzoNobel India (2025) — AkzoNobel selling a country-specific Asian decorative paints business, same seller, same portfolio-reshaping program disclosed by the CEO in April 2026 per the ION Analytics article. Disclosed 25x EBITDA multiple — an outlier-high control-premium precedent, likely not representative of the SEA process given India's scarcity-value dynamics (JSW is a strategic domestic conglomerate acquiring market leadership).</t>
        </is>
      </c>
    </row>
    <row r="8">
      <c r="A8" s="3" t="inlineStr">
        <is>
          <t xml:space="preserve">  2. Nippon Paint / AkzoNobel Decorative Paints GLOBAL unit (2026) — an unsolicited, REJECTED offer, not a completed transaction. Included because it directly prices AkzoNobel's global Decorative Paints segment by a strategic peer, but flagged prominently as non-binding and rejected — it should not be treated with the same weight as a closed deal.</t>
        </is>
      </c>
    </row>
    <row r="9">
      <c r="A9" s="3" t="inlineStr">
        <is>
          <t xml:space="preserve">  3. Sherwin-Williams / BASF Suvinil (Brazil, 2025) — structurally the closest precedent: a global paints/ chemicals major divesting a single-country architectural/decorative paints business to another global paints strategic, in an emerging market. Disclosed 'low teens' EBITDA multiple post-synergies.</t>
        </is>
      </c>
    </row>
    <row r="10">
      <c r="A10" s="3" t="inlineStr">
        <is>
          <t xml:space="preserve">  4. PPG / US-Canada Architectural Coatings to American Industrial Partners (2024) — a financial-sponsor precedent for a lower-margin architectural coatings carve-out; useful as a floor reference given the deal's low-single-digit EBITDA margin and correspondingly low EV/Revenue multiple.</t>
        </is>
      </c>
    </row>
    <row r="11">
      <c r="A11" s="3" t="inlineStr"/>
    </row>
    <row r="12">
      <c r="A12" s="3" t="inlineStr">
        <is>
          <t>See Precedents tab for the full transaction table and Implied_Valuation tab for the resulting range applied to the SEA carve-out.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pane ySplit="3" topLeftCell="A4" activePane="bottomLeft" state="frozen"/>
      <selection pane="bottomLeft" activeCell="A1" sqref="A1"/>
    </sheetView>
  </sheetViews>
  <sheetFormatPr baseColWidth="8" defaultRowHeight="15"/>
  <cols>
    <col width="13" customWidth="1" min="1" max="1"/>
    <col width="30" customWidth="1" min="2" max="2"/>
    <col width="26" customWidth="1" min="3" max="3"/>
    <col width="22" customWidth="1" min="4" max="4"/>
    <col width="12" customWidth="1" min="5" max="5"/>
    <col width="46" customWidth="1" min="6" max="6"/>
    <col width="14" customWidth="1" min="7" max="7"/>
    <col width="12" customWidth="1" min="8" max="8"/>
    <col width="10" customWidth="1" min="9" max="9"/>
    <col width="10" customWidth="1" min="10" max="10"/>
    <col width="10" customWidth="1" min="11" max="11"/>
    <col width="50" customWidth="1" min="12" max="12"/>
  </cols>
  <sheetData>
    <row r="1">
      <c r="A1" s="1" t="inlineStr">
        <is>
          <t>Precedent Transactions — Paints &amp; Coatings</t>
        </is>
      </c>
    </row>
    <row r="3">
      <c r="A3" s="5" t="inlineStr">
        <is>
          <t>Announcement Date</t>
        </is>
      </c>
      <c r="B3" s="5" t="inlineStr">
        <is>
          <t>Target</t>
        </is>
      </c>
      <c r="C3" s="5" t="inlineStr">
        <is>
          <t>Buyer</t>
        </is>
      </c>
      <c r="D3" s="5" t="inlineStr">
        <is>
          <t>Seller</t>
        </is>
      </c>
      <c r="E3" s="5" t="inlineStr">
        <is>
          <t>Country</t>
        </is>
      </c>
      <c r="F3" s="5" t="inlineStr">
        <is>
          <t>Business Description</t>
        </is>
      </c>
      <c r="G3" s="5" t="inlineStr">
        <is>
          <t>Transaction Value</t>
        </is>
      </c>
      <c r="H3" s="5" t="inlineStr">
        <is>
          <t>Revenue</t>
        </is>
      </c>
      <c r="I3" s="5" t="inlineStr">
        <is>
          <t>EV/Revenue</t>
        </is>
      </c>
      <c r="J3" s="5" t="inlineStr">
        <is>
          <t>EV/EBITDA</t>
        </is>
      </c>
      <c r="K3" s="5" t="inlineStr">
        <is>
          <t>Status</t>
        </is>
      </c>
      <c r="L3" s="5" t="inlineStr">
        <is>
          <t>Source / Notes</t>
        </is>
      </c>
    </row>
    <row r="4" ht="60" customHeight="1">
      <c r="A4" s="6" t="inlineStr">
        <is>
          <t>Jun 2025</t>
        </is>
      </c>
      <c r="B4" s="6" t="inlineStr">
        <is>
          <t>AkzoNobel India Ltd. (liquid paints &amp; coatings, incl. Dulux)</t>
        </is>
      </c>
      <c r="C4" s="6" t="inlineStr">
        <is>
          <t>JSW Paints Ltd. (JSW Group)</t>
        </is>
      </c>
      <c r="D4" s="6" t="inlineStr">
        <is>
          <t>AkzoNobel N.V.</t>
        </is>
      </c>
      <c r="E4" s="6" t="inlineStr">
        <is>
          <t>India</t>
        </is>
      </c>
      <c r="F4" s="3" t="inlineStr">
        <is>
          <t>74.76% stake in AkzoNobel's Indian liquid paints and coatings business (decorative + some performance); India Powder Coatings and the International Research Center excluded, retained by AkzoNobel.</t>
        </is>
      </c>
      <c r="G4" s="7" t="inlineStr">
        <is>
          <t>EUR 1.4bn (~USD 1.64bn incl. debt; 74.76% stake ~USD 1.05-1.08bn)</t>
        </is>
      </c>
      <c r="H4" s="8" t="inlineStr">
        <is>
          <t>Not disclosed</t>
        </is>
      </c>
      <c r="I4" s="9" t="inlineStr">
        <is>
          <t>UNAVAILABLE</t>
        </is>
      </c>
      <c r="J4" s="10" t="n">
        <v>25</v>
      </c>
      <c r="K4" s="2" t="inlineStr">
        <is>
          <t>Completed (announced Jun 2025, completed Dec 2025)</t>
        </is>
      </c>
      <c r="L4" s="2" t="inlineStr">
        <is>
          <t>DISCLOSED 25x EBITDA multiple per deal reporting. Largest acquisition in Indian coatings industry to date. Not directly used for the SEA valuation range given India-specific scarcity-value/control premium dynamics — see README.</t>
        </is>
      </c>
    </row>
    <row r="5" ht="60" customHeight="1">
      <c r="A5" s="6" t="inlineStr">
        <is>
          <t>2026 (reported)</t>
        </is>
      </c>
      <c r="B5" s="6" t="inlineStr">
        <is>
          <t>AkzoNobel Decorative Paints (GLOBAL segment, not SEA-specific)</t>
        </is>
      </c>
      <c r="C5" s="6" t="inlineStr">
        <is>
          <t>Nippon Paint Holdings</t>
        </is>
      </c>
      <c r="D5" s="6" t="inlineStr">
        <is>
          <t>AkzoNobel N.V.</t>
        </is>
      </c>
      <c r="E5" s="6" t="inlineStr">
        <is>
          <t>Global (multi-country)</t>
        </is>
      </c>
      <c r="F5" s="3" t="inlineStr">
        <is>
          <t>Unsolicited offer for AkzoNobel's entire global Decorative Paints segment. Followed an earlier joint Nippon Paint/Sherwin-Williams EUR 12.5bn bid for the whole of AkzoNobel, rejected in May [2026].</t>
        </is>
      </c>
      <c r="G5" s="7" t="inlineStr">
        <is>
          <t>EUR 7.5bn (USD 8.55bn) offer</t>
        </is>
      </c>
      <c r="H5" s="11" t="n">
        <v>4090</v>
      </c>
      <c r="I5" s="10" t="n">
        <v>1.83</v>
      </c>
      <c r="J5" s="10" t="n">
        <v>11.61</v>
      </c>
      <c r="K5" s="12" t="inlineStr">
        <is>
          <t>REJECTED / NOT COMPLETED — offer only, not a consummated transaction</t>
        </is>
      </c>
      <c r="L5" s="2" t="inlineStr">
        <is>
          <t>EV/Revenue and EV/EBITDA are ANALYST CALCULATIONS: EUR7.5bn offer / EUR4090mm FY2025 Decorative Paints segment revenue, and / implied EBITDA of EUR646mm (= revenue x 15.8% disclosed FY2025 segment margin). This is AkzoNobel's GLOBAL decorative business, not the SEA-only perimeter — scale and mix differ materially from the target.</t>
        </is>
      </c>
    </row>
    <row r="6" ht="60" customHeight="1">
      <c r="A6" s="6" t="inlineStr">
        <is>
          <t>2025</t>
        </is>
      </c>
      <c r="B6" s="6" t="inlineStr">
        <is>
          <t>Suvinil (BASF's Brazilian architectural paints business)</t>
        </is>
      </c>
      <c r="C6" s="6" t="inlineStr">
        <is>
          <t>Sherwin-Williams</t>
        </is>
      </c>
      <c r="D6" s="6" t="inlineStr">
        <is>
          <t>BASF SE</t>
        </is>
      </c>
      <c r="E6" s="6" t="inlineStr">
        <is>
          <t>Brazil</t>
        </is>
      </c>
      <c r="F6" s="3" t="inlineStr">
        <is>
          <t>Single-country architectural/decorative paints business, divested by a diversified chemicals major to a global paints strategic — structurally the closest precedent to the AkzoNobel SEA situation.</t>
        </is>
      </c>
      <c r="G6" s="7" t="inlineStr">
        <is>
          <t>USD 1.15bn (all-cash)</t>
        </is>
      </c>
      <c r="H6" s="11" t="n">
        <v>525</v>
      </c>
      <c r="I6" s="10" t="n">
        <v>2.19</v>
      </c>
      <c r="J6" s="9" t="inlineStr">
        <is>
          <t>DISCLOSED (range, not point estimate)</t>
        </is>
      </c>
      <c r="K6" s="2" t="inlineStr">
        <is>
          <t>Announced 2025; expected to close H2 2025</t>
        </is>
      </c>
      <c r="L6" s="2" t="inlineStr">
        <is>
          <t>Revenue of USD 525mm for the year ended 31-Dec-2024, per Sherwin-Williams press release. EV/EBITDA disclosed only as a range description ('low teens EBITDA multiple following anticipated post-transaction synergies') — not a precise disclosed number, so no single EV/EBITDA figure is shown; 'low teens' (~11-13x) is noted qualitatively only.</t>
        </is>
      </c>
    </row>
    <row r="7" ht="60" customHeight="1">
      <c r="A7" s="6" t="inlineStr">
        <is>
          <t>2024</t>
        </is>
      </c>
      <c r="B7" s="6" t="inlineStr">
        <is>
          <t>PPG Architectural Coatings (US &amp; Canada)</t>
        </is>
      </c>
      <c r="C7" s="6" t="inlineStr">
        <is>
          <t>American Industrial Partners (financial sponsor)</t>
        </is>
      </c>
      <c r="D7" s="6" t="inlineStr">
        <is>
          <t>PPG Industries</t>
        </is>
      </c>
      <c r="E7" s="6" t="inlineStr">
        <is>
          <t>United States, Canada</t>
        </is>
      </c>
      <c r="F7" s="3" t="inlineStr">
        <is>
          <t>Interior/exterior paints, stains, caulks, repair products, adhesives and sealants business, carved out of PPG following its Feb-2024 strategic review. Low-single-digit EBITDA margin business.</t>
        </is>
      </c>
      <c r="G7" s="7" t="inlineStr">
        <is>
          <t>USD 550m</t>
        </is>
      </c>
      <c r="H7" s="11" t="n">
        <v>2000</v>
      </c>
      <c r="I7" s="10" t="n">
        <v>0.28</v>
      </c>
      <c r="J7" s="9" t="inlineStr">
        <is>
          <t>UNAVAILABLE</t>
        </is>
      </c>
      <c r="K7" s="2" t="inlineStr">
        <is>
          <t>Completed Dec 2024</t>
        </is>
      </c>
      <c r="L7" s="2" t="inlineStr">
        <is>
          <t>Revenue ~USD 2.0bn for 2023, per deal reporting. EBITDA not disclosed with precision (described only as 'low-single-digit EBITDA margin'), so EV/EBITDA is left BLANK rather than estimated from a vague qualitative range. Financial-sponsor buyer, not a strategic — relevant as a floor/low-margin reference point, not a strategic-premium comparable.</t>
        </is>
      </c>
    </row>
    <row r="8" ht="60" customHeight="1">
      <c r="A8" s="6" t="inlineStr">
        <is>
          <t>Dec 2023</t>
        </is>
      </c>
      <c r="B8" s="6" t="inlineStr">
        <is>
          <t>VIBGYOR Paints and Chemicals (Pondicherry)</t>
        </is>
      </c>
      <c r="C8" s="6" t="inlineStr">
        <is>
          <t>Nippon Paint India (Nippon Paint Holdings)</t>
        </is>
      </c>
      <c r="D8" s="6" t="inlineStr">
        <is>
          <t>Private (VIBGYOR founders)</t>
        </is>
      </c>
      <c r="E8" s="6" t="inlineStr">
        <is>
          <t>India</t>
        </is>
      </c>
      <c r="F8" s="3" t="inlineStr">
        <is>
          <t>100% acquisition of a South Indian paints/coatings supplier, focused on Indian Railways coatings — an industrial/niche vertical, not decorative paints.</t>
        </is>
      </c>
      <c r="G8" s="7" t="inlineStr">
        <is>
          <t>Not disclosed</t>
        </is>
      </c>
      <c r="H8" s="8" t="inlineStr">
        <is>
          <t>Not disclosed</t>
        </is>
      </c>
      <c r="I8" s="9" t="inlineStr">
        <is>
          <t>UNAVAILABLE</t>
        </is>
      </c>
      <c r="J8" s="9" t="inlineStr">
        <is>
          <t>UNAVAILABLE</t>
        </is>
      </c>
      <c r="K8" s="2" t="inlineStr">
        <is>
          <t>Completed</t>
        </is>
      </c>
      <c r="L8" s="2" t="inlineStr">
        <is>
          <t>Deal value and financial multiples not publicly disclosed. Included for completeness of Nippon Paint's regional M&amp;A pattern only; NOT used in valuation ranges given no financial disclosure and niche industrial (rail coatings) product focus rather than decorative paints.</t>
        </is>
      </c>
    </row>
    <row r="10">
      <c r="A10" s="13" t="inlineStr">
        <is>
          <t>Disclosed / Calculated / Unavailable legend:</t>
        </is>
      </c>
    </row>
    <row r="11">
      <c r="A11" s="2" t="inlineStr">
        <is>
          <t>DISCLOSED = multiple stated directly by the source. CALCULATED = derived from two independently disclosed figures (shown in Notes). UNAVAILABLE = left blank; never invented.</t>
        </is>
      </c>
    </row>
  </sheetData>
  <mergeCells count="1">
    <mergeCell ref="A11:F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6" customWidth="1" min="1" max="1"/>
    <col width="20" customWidth="1" min="2" max="2"/>
    <col width="20" customWidth="1" min="3" max="3"/>
    <col width="20" customWidth="1" min="4" max="4"/>
  </cols>
  <sheetData>
    <row r="1">
      <c r="A1" s="1" t="inlineStr">
        <is>
          <t>Implied Valuation — SEA Decorative Paints Carve-Out (from Precedent Transactions)</t>
        </is>
      </c>
    </row>
    <row r="2">
      <c r="A2" s="2" t="inlineStr">
        <is>
          <t>Applies a reasoned range of precedent EV/Revenue multiples to the carve-out model's FY2026E revenue. No EV/EBITDA-based range is shown here given how few precedents carry a reliable disclosed EBITDA multiple (see Precedents tab) — see caution note below.</t>
        </is>
      </c>
    </row>
    <row r="4">
      <c r="A4" s="6" t="inlineStr">
        <is>
          <t>SEA Carve-Out FY2026E Revenue (EUR mm) — from financial model</t>
        </is>
      </c>
      <c r="B4" s="11" t="n">
        <v>315</v>
      </c>
    </row>
    <row r="6">
      <c r="A6" s="14" t="inlineStr">
        <is>
          <t>Basis</t>
        </is>
      </c>
      <c r="B6" s="14" t="inlineStr">
        <is>
          <t>Low</t>
        </is>
      </c>
      <c r="C6" s="14" t="inlineStr">
        <is>
          <t>Mid</t>
        </is>
      </c>
      <c r="D6" s="14" t="inlineStr">
        <is>
          <t>High</t>
        </is>
      </c>
    </row>
    <row r="7">
      <c r="A7" s="6" t="inlineStr">
        <is>
          <t>EV / Revenue multiple applied</t>
        </is>
      </c>
      <c r="B7" s="15">
        <f>Precedents!I7</f>
        <v/>
      </c>
      <c r="C7" s="15">
        <f>Precedents!I6</f>
        <v/>
      </c>
      <c r="D7" s="15">
        <f>Precedents!I5</f>
        <v/>
      </c>
    </row>
    <row r="8" ht="40" customHeight="1">
      <c r="A8" s="8" t="inlineStr">
        <is>
          <t>Basis for each column</t>
        </is>
      </c>
      <c r="B8" s="2" t="inlineStr">
        <is>
          <t>PPG/AIP (low-margin architectural coatings, financial sponsor)</t>
        </is>
      </c>
      <c r="C8" s="2" t="inlineStr">
        <is>
          <t>Sherwin-Williams/BASF Suvinil (closest structural precedent)</t>
        </is>
      </c>
      <c r="D8" s="2" t="inlineStr">
        <is>
          <t>Nippon Paint/AkzoNobel global Decorative offer (strategic premium, REJECTED bid)</t>
        </is>
      </c>
    </row>
    <row r="9">
      <c r="A9" s="13" t="inlineStr">
        <is>
          <t>Implied EV (EUR mm)</t>
        </is>
      </c>
      <c r="B9" s="16">
        <f>B7*$B$4</f>
        <v/>
      </c>
      <c r="C9" s="16">
        <f>C7*$B$4</f>
        <v/>
      </c>
      <c r="D9" s="16">
        <f>D7*$B$4</f>
        <v/>
      </c>
    </row>
    <row r="11" ht="75" customHeight="1">
      <c r="A11" s="2" t="inlineStr">
        <is>
          <t>CAUTION: This range is built from three structurally different deals (a PE-sponsor carve-out of a low-margin US business; a strategic's emerging-market single-country acquisition; and a REJECTED, unsolicited strategic offer for AkzoNobel's entire global Decorative Paints segment) rather than a tight cluster of truly comparable deals. The JSW/AkzoNobel India precedent (25x EBITDA, India-specific) and the Nippon Paint/Vibgyor deal (value undisclosed) are excluded from this range for the reasons noted on the Precedents tab. This range should be triangulated against the DCF (02_Financial_Model) and trading comps (03_Trading_Comps) outputs in 05_Valuation, not relied upon in isolation.</t>
        </is>
      </c>
    </row>
  </sheetData>
  <mergeCells count="1">
    <mergeCell ref="A11:D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2026-09-16T19:35:38Z</dcterms:created>
  <dcterms:modified xmlns:dcterms="http://purl.org/dc/terms/" xmlns:xsi="http://www.w3.org/2001/XMLSchema-instance" xsi:type="dcterms:W3CDTF">2026-09-16T19:35:38Z</dcterms:modified>
</cp:coreProperties>
</file>